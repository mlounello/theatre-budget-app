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mikelounello/Downloads/"/>
    </mc:Choice>
  </mc:AlternateContent>
  <xr:revisionPtr revIDLastSave="0" documentId="13_ncr:1_{71A8C4DB-6174-6046-86F5-72C210EE2B3B}" xr6:coauthVersionLast="47" xr6:coauthVersionMax="47" xr10:uidLastSave="{00000000-0000-0000-0000-000000000000}"/>
  <bookViews>
    <workbookView xWindow="0" yWindow="760" windowWidth="30240" windowHeight="17920" xr2:uid="{00000000-000D-0000-FFFF-FFFF00000000}"/>
  </bookViews>
  <sheets>
    <sheet name="Expenses" sheetId="1" r:id="rId1"/>
    <sheet name="Income" sheetId="2" r:id="rId2"/>
    <sheet name="Budget Summary" sheetId="3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L13" i="1"/>
  <c r="K14" i="1"/>
  <c r="K13" i="1"/>
  <c r="J14" i="1"/>
  <c r="J13" i="1"/>
  <c r="L12" i="1"/>
  <c r="L11" i="1"/>
  <c r="L10" i="1"/>
  <c r="L9" i="1"/>
  <c r="L8" i="1"/>
  <c r="K12" i="1"/>
  <c r="K11" i="1"/>
  <c r="K10" i="1"/>
  <c r="K9" i="1"/>
  <c r="K8" i="1"/>
  <c r="J12" i="1"/>
  <c r="J11" i="1"/>
  <c r="J10" i="1"/>
  <c r="J9" i="1"/>
  <c r="J8" i="1"/>
  <c r="L15" i="1"/>
  <c r="K15" i="1"/>
  <c r="F14" i="1"/>
  <c r="F13" i="1"/>
  <c r="F12" i="1"/>
  <c r="F11" i="1"/>
  <c r="F10" i="1"/>
  <c r="F9" i="1"/>
  <c r="F8" i="1"/>
  <c r="F15" i="1"/>
  <c r="E14" i="1"/>
  <c r="E13" i="1"/>
  <c r="E12" i="1"/>
  <c r="E11" i="1"/>
  <c r="E10" i="1"/>
  <c r="E9" i="1"/>
  <c r="E8" i="1"/>
  <c r="D14" i="1"/>
  <c r="D13" i="1"/>
  <c r="D12" i="1"/>
  <c r="D11" i="1"/>
  <c r="D10" i="1"/>
  <c r="D9" i="1"/>
  <c r="D8" i="1"/>
  <c r="C5" i="3"/>
  <c r="C4" i="3"/>
  <c r="B2" i="3"/>
  <c r="G34" i="2"/>
  <c r="G23" i="2"/>
  <c r="G16" i="2"/>
  <c r="G5" i="2" s="1"/>
  <c r="D12" i="3" s="1"/>
  <c r="K5" i="3" s="1"/>
  <c r="C5" i="2"/>
  <c r="C4" i="2"/>
  <c r="B2" i="2"/>
  <c r="L59" i="1"/>
  <c r="J60" i="1" s="1"/>
  <c r="K59" i="1"/>
  <c r="J59" i="1"/>
  <c r="F59" i="1"/>
  <c r="E59" i="1"/>
  <c r="D23" i="1"/>
  <c r="D59" i="1" s="1"/>
  <c r="D60" i="1" s="1"/>
  <c r="D9" i="3" l="1"/>
  <c r="E15" i="1"/>
  <c r="D10" i="3" s="1"/>
  <c r="D15" i="1"/>
  <c r="J15" i="1"/>
  <c r="J16" i="1" s="1"/>
  <c r="D11" i="3" l="1"/>
  <c r="D14" i="3" s="1"/>
  <c r="D16" i="1"/>
  <c r="L5" i="1" s="1"/>
  <c r="K6" i="3" l="1"/>
  <c r="K7" i="3" s="1"/>
  <c r="K8" i="3" l="1"/>
</calcChain>
</file>

<file path=xl/sharedStrings.xml><?xml version="1.0" encoding="utf-8"?>
<sst xmlns="http://schemas.openxmlformats.org/spreadsheetml/2006/main" count="122" uniqueCount="77">
  <si>
    <t xml:space="preserve"> </t>
  </si>
  <si>
    <t>Theatre Production AY2526</t>
  </si>
  <si>
    <t>EXPENSES</t>
  </si>
  <si>
    <t>TOTAL EXPENSES</t>
  </si>
  <si>
    <t>As of 01/06/2026</t>
  </si>
  <si>
    <t>Actual</t>
  </si>
  <si>
    <t>Order Tracking</t>
  </si>
  <si>
    <t>Rumors</t>
  </si>
  <si>
    <t>REF #</t>
  </si>
  <si>
    <t>PENDING CC</t>
  </si>
  <si>
    <t>ENC</t>
  </si>
  <si>
    <t>YTD</t>
  </si>
  <si>
    <t>Dolly West's Kitchen</t>
  </si>
  <si>
    <t>Scenic</t>
  </si>
  <si>
    <t>Costumes</t>
  </si>
  <si>
    <t>Lighting</t>
  </si>
  <si>
    <t>Sound</t>
  </si>
  <si>
    <t>Rights</t>
  </si>
  <si>
    <t>Props</t>
  </si>
  <si>
    <t>Miscellaneous</t>
  </si>
  <si>
    <t>TOTALS</t>
  </si>
  <si>
    <t>TOTAL</t>
  </si>
  <si>
    <t>ALL TOTAL</t>
  </si>
  <si>
    <t>Fall Miscellaneous</t>
  </si>
  <si>
    <t>Spring Miscellaneous</t>
  </si>
  <si>
    <t>Lapels Dry Cleaning</t>
  </si>
  <si>
    <t>EP013519</t>
  </si>
  <si>
    <t>Speaker Correction</t>
  </si>
  <si>
    <t>EP010561</t>
  </si>
  <si>
    <t>Propared</t>
  </si>
  <si>
    <t>B &amp; H Foto &amp; Electronics Corp. (Video)</t>
  </si>
  <si>
    <t>EP016353</t>
  </si>
  <si>
    <t>Lightwright License</t>
  </si>
  <si>
    <t>CaseLabelUsa</t>
  </si>
  <si>
    <t>J0179555</t>
  </si>
  <si>
    <t>Guest Artist Overage</t>
  </si>
  <si>
    <t>Department AMEX (October)</t>
  </si>
  <si>
    <t>EC000111</t>
  </si>
  <si>
    <t>Theatre Awards</t>
  </si>
  <si>
    <t>B &amp; H Foto &amp; Electronics Corp. (Sound)</t>
  </si>
  <si>
    <t>EP017361</t>
  </si>
  <si>
    <t>EP017726</t>
  </si>
  <si>
    <t>EP017591</t>
  </si>
  <si>
    <t>EP017693</t>
  </si>
  <si>
    <t>Amazon Business, Inc</t>
  </si>
  <si>
    <t>EP017855</t>
  </si>
  <si>
    <t>EP017852</t>
  </si>
  <si>
    <t>?</t>
  </si>
  <si>
    <t>INCOME</t>
  </si>
  <si>
    <t>TOTAL INCOME</t>
  </si>
  <si>
    <t>LUDUS CHECKS</t>
  </si>
  <si>
    <t>LINE ITEM</t>
  </si>
  <si>
    <t>Ludus Check for July</t>
  </si>
  <si>
    <t>F0077302</t>
  </si>
  <si>
    <t>Ludus Check for October</t>
  </si>
  <si>
    <t>F0078250</t>
  </si>
  <si>
    <t>Ludus Check Rumors</t>
  </si>
  <si>
    <t>F0078503</t>
  </si>
  <si>
    <t>Ludus Check from Donations</t>
  </si>
  <si>
    <t>F0078679</t>
  </si>
  <si>
    <t>Total</t>
  </si>
  <si>
    <t>MISC DONATIONS</t>
  </si>
  <si>
    <t>MISC INCOME</t>
  </si>
  <si>
    <t>BUDGET</t>
  </si>
  <si>
    <t>BUDGET SUMMARY</t>
  </si>
  <si>
    <t>Total Budget (Revenue)</t>
  </si>
  <si>
    <t>Total Spent (Expenses)</t>
  </si>
  <si>
    <t xml:space="preserve"> Total</t>
  </si>
  <si>
    <t>Spent Slice (green)</t>
  </si>
  <si>
    <t>Adjusted Budget</t>
  </si>
  <si>
    <t>Remaining Slice (Yellow)</t>
  </si>
  <si>
    <t>YTD Activity</t>
  </si>
  <si>
    <t>Commitments</t>
  </si>
  <si>
    <t>Pending CC</t>
  </si>
  <si>
    <t>Revenue</t>
  </si>
  <si>
    <t>Emergency Fund</t>
  </si>
  <si>
    <t>Total budget (or 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</si>
</sst>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164" formatCode="&quot;$&quot;#,##0.00"/>
    <numFmt numFmtId="165" formatCode=";;;"/>
  </numFmts>
  <fonts count="34" x14ac:knownFonts="1">
    <font>
      <sz val="10"/>
      <color rgb="FF000000"/>
      <name val="Arial"/>
      <scheme val="minor"/>
    </font>
    <font>
      <sz val="8"/>
      <color theme="0"/>
      <name val="Century Gothic"/>
    </font>
    <font>
      <sz val="10"/>
      <color theme="1"/>
      <name val="Century Gothic"/>
    </font>
    <font>
      <b/>
      <sz val="48"/>
      <color rgb="FF2D5E3C"/>
      <name val="Century Gothic"/>
    </font>
    <font>
      <sz val="10"/>
      <name val="Arial"/>
    </font>
    <font>
      <sz val="22"/>
      <color theme="4"/>
      <name val="Century Gothic"/>
    </font>
    <font>
      <sz val="20"/>
      <color rgb="FF2D5E3C"/>
      <name val="Century Gothic"/>
    </font>
    <font>
      <b/>
      <sz val="48"/>
      <color theme="9"/>
      <name val="Century Gothic"/>
    </font>
    <font>
      <sz val="20"/>
      <color theme="9"/>
      <name val="Century Gothic"/>
    </font>
    <font>
      <b/>
      <sz val="18"/>
      <color theme="1"/>
      <name val="Century Gothic"/>
    </font>
    <font>
      <sz val="12"/>
      <color theme="1"/>
      <name val="Century Gothic"/>
    </font>
    <font>
      <b/>
      <sz val="12"/>
      <color theme="1"/>
      <name val="Century Gothic"/>
    </font>
    <font>
      <b/>
      <u/>
      <sz val="18"/>
      <color rgb="FF0000FF"/>
      <name val="Century Gothic"/>
    </font>
    <font>
      <sz val="9"/>
      <color theme="1"/>
      <name val="Century Gothic"/>
    </font>
    <font>
      <b/>
      <sz val="12"/>
      <color rgb="FFFF0000"/>
      <name val="Century Gothic"/>
    </font>
    <font>
      <sz val="12"/>
      <color rgb="FFFF0000"/>
      <name val="Century Gothic"/>
    </font>
    <font>
      <sz val="10"/>
      <color theme="0"/>
      <name val="Century Gothic"/>
    </font>
    <font>
      <b/>
      <sz val="48"/>
      <color rgb="FFD9BE03"/>
      <name val="Century Gothic"/>
    </font>
    <font>
      <sz val="22"/>
      <color rgb="FFD9BE03"/>
      <name val="Century Gothic"/>
    </font>
    <font>
      <b/>
      <sz val="48"/>
      <color theme="4"/>
      <name val="Century Gothic"/>
    </font>
    <font>
      <sz val="11"/>
      <color theme="0"/>
      <name val="Century Gothic"/>
    </font>
    <font>
      <b/>
      <u/>
      <sz val="18"/>
      <color theme="1"/>
      <name val="Century Gothic"/>
    </font>
    <font>
      <b/>
      <sz val="9"/>
      <color theme="1"/>
      <name val="Century Gothic"/>
    </font>
    <font>
      <b/>
      <sz val="14"/>
      <color rgb="FF275E69"/>
      <name val="Century Gothic"/>
    </font>
    <font>
      <sz val="12"/>
      <color theme="0"/>
      <name val="Century Gothic"/>
    </font>
    <font>
      <b/>
      <sz val="14"/>
      <color rgb="FFD9BE03"/>
      <name val="Century Gothic"/>
    </font>
    <font>
      <sz val="10"/>
      <color rgb="FFFFFFFF"/>
      <name val="Century Gothic"/>
    </font>
    <font>
      <b/>
      <sz val="48"/>
      <color rgb="FF215E99"/>
      <name val="Century Gothic"/>
    </font>
    <font>
      <sz val="22"/>
      <color rgb="FF215E99"/>
      <name val="Century Gothic"/>
    </font>
    <font>
      <b/>
      <sz val="22"/>
      <color theme="4"/>
      <name val="Century Gothic"/>
    </font>
    <font>
      <b/>
      <u/>
      <sz val="18"/>
      <color theme="1"/>
      <name val="Century Gothic"/>
    </font>
    <font>
      <sz val="18"/>
      <color theme="1"/>
      <name val="Century Gothic"/>
    </font>
    <font>
      <sz val="10"/>
      <color theme="1"/>
      <name val="Arial"/>
      <scheme val="minor"/>
    </font>
    <font>
      <b/>
      <i/>
      <sz val="12"/>
      <color rgb="FFFF0000"/>
      <name val="Century Gothic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A7D5B5"/>
        <bgColor rgb="FFA7D5B5"/>
      </patternFill>
    </fill>
    <fill>
      <patternFill patternType="solid">
        <fgColor rgb="FFD3EADA"/>
        <bgColor rgb="FFD3EADA"/>
      </patternFill>
    </fill>
    <fill>
      <patternFill patternType="solid">
        <fgColor rgb="FFFDF3A9"/>
        <bgColor rgb="FFFDF3A9"/>
      </patternFill>
    </fill>
    <fill>
      <patternFill patternType="solid">
        <fgColor rgb="FFFEF9D4"/>
        <bgColor rgb="FFFEF9D4"/>
      </patternFill>
    </fill>
    <fill>
      <patternFill patternType="solid">
        <fgColor rgb="FFA6C9EB"/>
        <bgColor rgb="FFA6C9EB"/>
      </patternFill>
    </fill>
    <fill>
      <patternFill patternType="solid">
        <fgColor rgb="FFDBE9F7"/>
        <bgColor rgb="FFDBE9F7"/>
      </patternFill>
    </fill>
    <fill>
      <patternFill patternType="solid">
        <fgColor theme="0"/>
        <bgColor theme="0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907F02"/>
      </right>
      <top style="thin">
        <color rgb="FF907F02"/>
      </top>
      <bottom/>
      <diagonal/>
    </border>
    <border>
      <left/>
      <right/>
      <top style="thin">
        <color rgb="FF907F02"/>
      </top>
      <bottom style="thin">
        <color rgb="FF907F02"/>
      </bottom>
      <diagonal/>
    </border>
    <border>
      <left/>
      <right style="thin">
        <color rgb="FF907F02"/>
      </right>
      <top/>
      <bottom style="thin">
        <color rgb="FF907F02"/>
      </bottom>
      <diagonal/>
    </border>
    <border>
      <left/>
      <right/>
      <top style="thin">
        <color rgb="FF907F02"/>
      </top>
      <bottom style="thin">
        <color rgb="FF907F02"/>
      </bottom>
      <diagonal/>
    </border>
    <border>
      <left/>
      <right/>
      <top style="thin">
        <color rgb="FF907F02"/>
      </top>
      <bottom style="thin">
        <color rgb="FF907F02"/>
      </bottom>
      <diagonal/>
    </border>
    <border>
      <left/>
      <right/>
      <top style="thin">
        <color rgb="FF907F02"/>
      </top>
      <bottom/>
      <diagonal/>
    </border>
    <border>
      <left/>
      <right/>
      <top/>
      <bottom style="thin">
        <color rgb="FF907F02"/>
      </bottom>
      <diagonal/>
    </border>
    <border>
      <left/>
      <right/>
      <top style="thin">
        <color rgb="FF907F02"/>
      </top>
      <bottom style="thin">
        <color rgb="FF907F02"/>
      </bottom>
      <diagonal/>
    </border>
    <border>
      <left/>
      <right/>
      <top/>
      <bottom style="thin">
        <color rgb="FF907F02"/>
      </bottom>
      <diagonal/>
    </border>
    <border>
      <left/>
      <right/>
      <top/>
      <bottom style="thin">
        <color rgb="FF907F02"/>
      </bottom>
      <diagonal/>
    </border>
    <border>
      <left/>
      <right/>
      <top/>
      <bottom style="thin">
        <color rgb="FF907F02"/>
      </bottom>
      <diagonal/>
    </border>
    <border>
      <left/>
      <right style="thin">
        <color rgb="FF1A3F46"/>
      </right>
      <top style="thin">
        <color rgb="FF1A3F46"/>
      </top>
      <bottom/>
      <diagonal/>
    </border>
    <border>
      <left/>
      <right/>
      <top style="thin">
        <color rgb="FF1A3F46"/>
      </top>
      <bottom style="thin">
        <color rgb="FF1A3F46"/>
      </bottom>
      <diagonal/>
    </border>
    <border>
      <left/>
      <right style="thin">
        <color rgb="FF1A3F46"/>
      </right>
      <top/>
      <bottom style="thin">
        <color rgb="FF1A3F46"/>
      </bottom>
      <diagonal/>
    </border>
    <border>
      <left/>
      <right/>
      <top style="thin">
        <color rgb="FF1A3F46"/>
      </top>
      <bottom style="thin">
        <color rgb="FF1A3F46"/>
      </bottom>
      <diagonal/>
    </border>
    <border>
      <left/>
      <right/>
      <top style="thin">
        <color rgb="FF1A3F46"/>
      </top>
      <bottom style="thin">
        <color rgb="FF1A3F46"/>
      </bottom>
      <diagonal/>
    </border>
    <border>
      <left/>
      <right/>
      <top/>
      <bottom style="thin">
        <color rgb="FF1A3F46"/>
      </bottom>
      <diagonal/>
    </border>
    <border>
      <left/>
      <right/>
      <top/>
      <bottom style="thin">
        <color rgb="FF1A3F46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right"/>
    </xf>
    <xf numFmtId="0" fontId="7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right" vertical="center"/>
    </xf>
    <xf numFmtId="0" fontId="10" fillId="4" borderId="6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right"/>
    </xf>
    <xf numFmtId="0" fontId="11" fillId="4" borderId="6" xfId="0" applyFont="1" applyFill="1" applyBorder="1" applyAlignment="1">
      <alignment horizontal="right" vertical="center"/>
    </xf>
    <xf numFmtId="0" fontId="2" fillId="0" borderId="0" xfId="0" applyFont="1" applyAlignment="1">
      <alignment horizontal="right"/>
    </xf>
    <xf numFmtId="0" fontId="13" fillId="4" borderId="6" xfId="0" applyFont="1" applyFill="1" applyBorder="1" applyAlignment="1">
      <alignment vertical="center"/>
    </xf>
    <xf numFmtId="8" fontId="10" fillId="4" borderId="6" xfId="0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right"/>
    </xf>
    <xf numFmtId="0" fontId="2" fillId="2" borderId="4" xfId="0" applyFont="1" applyFill="1" applyBorder="1"/>
    <xf numFmtId="0" fontId="11" fillId="3" borderId="11" xfId="0" applyFont="1" applyFill="1" applyBorder="1" applyAlignment="1">
      <alignment horizontal="left" vertical="center"/>
    </xf>
    <xf numFmtId="164" fontId="11" fillId="3" borderId="11" xfId="0" applyNumberFormat="1" applyFont="1" applyFill="1" applyBorder="1" applyAlignment="1">
      <alignment horizontal="right"/>
    </xf>
    <xf numFmtId="164" fontId="11" fillId="3" borderId="12" xfId="0" applyNumberFormat="1" applyFont="1" applyFill="1" applyBorder="1" applyAlignment="1">
      <alignment horizontal="right"/>
    </xf>
    <xf numFmtId="0" fontId="10" fillId="2" borderId="4" xfId="0" applyFont="1" applyFill="1" applyBorder="1" applyAlignment="1">
      <alignment vertical="center"/>
    </xf>
    <xf numFmtId="0" fontId="11" fillId="3" borderId="12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0" fillId="2" borderId="13" xfId="0" applyFont="1" applyFill="1" applyBorder="1" applyAlignment="1">
      <alignment horizontal="left" vertical="center"/>
    </xf>
    <xf numFmtId="8" fontId="10" fillId="2" borderId="13" xfId="0" applyNumberFormat="1" applyFont="1" applyFill="1" applyBorder="1" applyAlignment="1">
      <alignment horizontal="right" vertical="center"/>
    </xf>
    <xf numFmtId="164" fontId="11" fillId="4" borderId="14" xfId="0" applyNumberFormat="1" applyFont="1" applyFill="1" applyBorder="1" applyAlignment="1">
      <alignment horizontal="left" vertical="center"/>
    </xf>
    <xf numFmtId="8" fontId="11" fillId="4" borderId="14" xfId="0" applyNumberFormat="1" applyFont="1" applyFill="1" applyBorder="1" applyAlignment="1">
      <alignment horizontal="right" vertical="center"/>
    </xf>
    <xf numFmtId="164" fontId="11" fillId="4" borderId="6" xfId="0" applyNumberFormat="1" applyFont="1" applyFill="1" applyBorder="1" applyAlignment="1">
      <alignment horizontal="left" vertical="center"/>
    </xf>
    <xf numFmtId="8" fontId="11" fillId="4" borderId="6" xfId="0" applyNumberFormat="1" applyFont="1" applyFill="1" applyBorder="1" applyAlignment="1">
      <alignment horizontal="right" vertical="center"/>
    </xf>
    <xf numFmtId="164" fontId="11" fillId="4" borderId="6" xfId="0" applyNumberFormat="1" applyFont="1" applyFill="1" applyBorder="1" applyAlignment="1">
      <alignment horizontal="right" vertical="center"/>
    </xf>
    <xf numFmtId="0" fontId="10" fillId="2" borderId="4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right" vertical="center"/>
    </xf>
    <xf numFmtId="0" fontId="11" fillId="2" borderId="13" xfId="0" applyFont="1" applyFill="1" applyBorder="1" applyAlignment="1">
      <alignment horizontal="left" vertical="center"/>
    </xf>
    <xf numFmtId="8" fontId="11" fillId="2" borderId="13" xfId="0" applyNumberFormat="1" applyFont="1" applyFill="1" applyBorder="1" applyAlignment="1">
      <alignment horizontal="right" vertical="center"/>
    </xf>
    <xf numFmtId="164" fontId="11" fillId="2" borderId="13" xfId="0" applyNumberFormat="1" applyFont="1" applyFill="1" applyBorder="1" applyAlignment="1">
      <alignment horizontal="right" vertical="center"/>
    </xf>
    <xf numFmtId="164" fontId="10" fillId="2" borderId="13" xfId="0" applyNumberFormat="1" applyFont="1" applyFill="1" applyBorder="1" applyAlignment="1">
      <alignment horizontal="right" vertical="center"/>
    </xf>
    <xf numFmtId="164" fontId="2" fillId="0" borderId="0" xfId="0" applyNumberFormat="1" applyFont="1"/>
    <xf numFmtId="0" fontId="14" fillId="2" borderId="13" xfId="0" applyFont="1" applyFill="1" applyBorder="1" applyAlignment="1">
      <alignment horizontal="left" vertical="center"/>
    </xf>
    <xf numFmtId="8" fontId="14" fillId="2" borderId="13" xfId="0" applyNumberFormat="1" applyFont="1" applyFill="1" applyBorder="1" applyAlignment="1">
      <alignment horizontal="right" vertical="center"/>
    </xf>
    <xf numFmtId="8" fontId="15" fillId="2" borderId="13" xfId="0" applyNumberFormat="1" applyFont="1" applyFill="1" applyBorder="1" applyAlignment="1">
      <alignment horizontal="right" vertical="center"/>
    </xf>
    <xf numFmtId="164" fontId="14" fillId="2" borderId="13" xfId="0" applyNumberFormat="1" applyFont="1" applyFill="1" applyBorder="1" applyAlignment="1">
      <alignment horizontal="right" vertical="center"/>
    </xf>
    <xf numFmtId="0" fontId="14" fillId="2" borderId="4" xfId="0" applyFont="1" applyFill="1" applyBorder="1" applyAlignment="1">
      <alignment vertical="center"/>
    </xf>
    <xf numFmtId="7" fontId="11" fillId="4" borderId="14" xfId="0" applyNumberFormat="1" applyFont="1" applyFill="1" applyBorder="1" applyAlignment="1">
      <alignment horizontal="left" vertical="center"/>
    </xf>
    <xf numFmtId="7" fontId="11" fillId="4" borderId="6" xfId="0" applyNumberFormat="1" applyFont="1" applyFill="1" applyBorder="1" applyAlignment="1">
      <alignment horizontal="left" vertical="center"/>
    </xf>
    <xf numFmtId="4" fontId="2" fillId="0" borderId="0" xfId="0" applyNumberFormat="1" applyFont="1"/>
    <xf numFmtId="0" fontId="16" fillId="0" borderId="0" xfId="0" applyFont="1"/>
    <xf numFmtId="0" fontId="5" fillId="2" borderId="4" xfId="0" applyFont="1" applyFill="1" applyBorder="1"/>
    <xf numFmtId="0" fontId="18" fillId="2" borderId="4" xfId="0" applyFont="1" applyFill="1" applyBorder="1" applyAlignment="1">
      <alignment horizontal="right"/>
    </xf>
    <xf numFmtId="0" fontId="19" fillId="2" borderId="4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right"/>
    </xf>
    <xf numFmtId="0" fontId="20" fillId="0" borderId="0" xfId="0" applyFont="1" applyAlignment="1">
      <alignment vertical="center"/>
    </xf>
    <xf numFmtId="0" fontId="10" fillId="6" borderId="16" xfId="0" applyFont="1" applyFill="1" applyBorder="1" applyAlignment="1">
      <alignment horizontal="left" vertical="center"/>
    </xf>
    <xf numFmtId="0" fontId="2" fillId="6" borderId="16" xfId="0" applyFont="1" applyFill="1" applyBorder="1" applyAlignment="1">
      <alignment horizontal="right" vertical="center"/>
    </xf>
    <xf numFmtId="0" fontId="11" fillId="6" borderId="16" xfId="0" applyFont="1" applyFill="1" applyBorder="1" applyAlignment="1">
      <alignment horizontal="right" vertical="center"/>
    </xf>
    <xf numFmtId="0" fontId="22" fillId="6" borderId="16" xfId="0" applyFont="1" applyFill="1" applyBorder="1" applyAlignment="1">
      <alignment vertical="center"/>
    </xf>
    <xf numFmtId="0" fontId="10" fillId="6" borderId="16" xfId="0" applyFont="1" applyFill="1" applyBorder="1" applyAlignment="1">
      <alignment horizontal="right" vertical="center"/>
    </xf>
    <xf numFmtId="8" fontId="10" fillId="6" borderId="16" xfId="0" applyNumberFormat="1" applyFont="1" applyFill="1" applyBorder="1" applyAlignment="1">
      <alignment horizontal="right" vertical="center"/>
    </xf>
    <xf numFmtId="0" fontId="20" fillId="0" borderId="0" xfId="0" applyFont="1" applyAlignment="1">
      <alignment horizontal="left" vertical="center"/>
    </xf>
    <xf numFmtId="0" fontId="23" fillId="2" borderId="20" xfId="0" applyFont="1" applyFill="1" applyBorder="1" applyAlignment="1">
      <alignment horizontal="left" vertical="center"/>
    </xf>
    <xf numFmtId="0" fontId="24" fillId="2" borderId="20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5" fillId="2" borderId="21" xfId="0" applyFont="1" applyFill="1" applyBorder="1" applyAlignment="1">
      <alignment horizontal="left" vertical="center"/>
    </xf>
    <xf numFmtId="0" fontId="24" fillId="2" borderId="21" xfId="0" applyFont="1" applyFill="1" applyBorder="1" applyAlignment="1">
      <alignment horizontal="left" vertical="center"/>
    </xf>
    <xf numFmtId="0" fontId="11" fillId="5" borderId="16" xfId="0" applyFont="1" applyFill="1" applyBorder="1" applyAlignment="1">
      <alignment horizontal="right" vertical="center"/>
    </xf>
    <xf numFmtId="0" fontId="10" fillId="2" borderId="21" xfId="0" applyFont="1" applyFill="1" applyBorder="1" applyAlignment="1">
      <alignment horizontal="right" vertical="center"/>
    </xf>
    <xf numFmtId="8" fontId="10" fillId="2" borderId="21" xfId="0" applyNumberFormat="1" applyFont="1" applyFill="1" applyBorder="1" applyAlignment="1">
      <alignment horizontal="right"/>
    </xf>
    <xf numFmtId="0" fontId="10" fillId="2" borderId="16" xfId="0" applyFont="1" applyFill="1" applyBorder="1" applyAlignment="1">
      <alignment horizontal="right" vertical="center"/>
    </xf>
    <xf numFmtId="8" fontId="10" fillId="2" borderId="16" xfId="0" applyNumberFormat="1" applyFont="1" applyFill="1" applyBorder="1" applyAlignment="1">
      <alignment horizontal="right" vertical="center"/>
    </xf>
    <xf numFmtId="0" fontId="11" fillId="6" borderId="16" xfId="0" applyFont="1" applyFill="1" applyBorder="1" applyAlignment="1">
      <alignment horizontal="left" vertical="center"/>
    </xf>
    <xf numFmtId="8" fontId="11" fillId="6" borderId="16" xfId="0" applyNumberFormat="1" applyFont="1" applyFill="1" applyBorder="1" applyAlignment="1">
      <alignment horizontal="right" vertical="center"/>
    </xf>
    <xf numFmtId="0" fontId="24" fillId="2" borderId="21" xfId="0" applyFont="1" applyFill="1" applyBorder="1" applyAlignment="1">
      <alignment horizontal="left"/>
    </xf>
    <xf numFmtId="0" fontId="24" fillId="2" borderId="21" xfId="0" applyFont="1" applyFill="1" applyBorder="1" applyAlignment="1">
      <alignment horizontal="right"/>
    </xf>
    <xf numFmtId="8" fontId="2" fillId="0" borderId="0" xfId="0" applyNumberFormat="1" applyFont="1"/>
    <xf numFmtId="0" fontId="11" fillId="6" borderId="4" xfId="0" applyFont="1" applyFill="1" applyBorder="1" applyAlignment="1">
      <alignment horizontal="left" vertical="center"/>
    </xf>
    <xf numFmtId="0" fontId="11" fillId="6" borderId="4" xfId="0" applyFont="1" applyFill="1" applyBorder="1" applyAlignment="1">
      <alignment horizontal="right" vertical="center"/>
    </xf>
    <xf numFmtId="8" fontId="11" fillId="6" borderId="4" xfId="0" applyNumberFormat="1" applyFont="1" applyFill="1" applyBorder="1" applyAlignment="1">
      <alignment horizontal="right" vertical="center"/>
    </xf>
    <xf numFmtId="8" fontId="10" fillId="2" borderId="16" xfId="0" applyNumberFormat="1" applyFont="1" applyFill="1" applyBorder="1" applyAlignment="1">
      <alignment horizontal="right"/>
    </xf>
    <xf numFmtId="0" fontId="26" fillId="0" borderId="0" xfId="0" applyFont="1"/>
    <xf numFmtId="0" fontId="28" fillId="2" borderId="4" xfId="0" applyFont="1" applyFill="1" applyBorder="1" applyAlignment="1">
      <alignment horizontal="right"/>
    </xf>
    <xf numFmtId="0" fontId="10" fillId="8" borderId="27" xfId="0" applyFont="1" applyFill="1" applyBorder="1" applyAlignment="1">
      <alignment horizontal="left" vertical="center"/>
    </xf>
    <xf numFmtId="0" fontId="29" fillId="8" borderId="27" xfId="0" applyFont="1" applyFill="1" applyBorder="1" applyAlignment="1">
      <alignment horizontal="right" vertical="top"/>
    </xf>
    <xf numFmtId="0" fontId="11" fillId="8" borderId="27" xfId="0" applyFont="1" applyFill="1" applyBorder="1" applyAlignment="1">
      <alignment horizontal="right" vertical="center"/>
    </xf>
    <xf numFmtId="0" fontId="10" fillId="8" borderId="27" xfId="0" applyFont="1" applyFill="1" applyBorder="1" applyAlignment="1">
      <alignment horizontal="right" vertical="center"/>
    </xf>
    <xf numFmtId="0" fontId="20" fillId="0" borderId="0" xfId="0" applyFont="1" applyAlignment="1">
      <alignment vertical="center" wrapText="1"/>
    </xf>
    <xf numFmtId="0" fontId="2" fillId="8" borderId="27" xfId="0" applyFont="1" applyFill="1" applyBorder="1" applyAlignment="1">
      <alignment horizontal="center" vertical="center"/>
    </xf>
    <xf numFmtId="0" fontId="2" fillId="8" borderId="27" xfId="0" applyFont="1" applyFill="1" applyBorder="1"/>
    <xf numFmtId="0" fontId="2" fillId="2" borderId="4" xfId="0" applyFont="1" applyFill="1" applyBorder="1" applyAlignment="1">
      <alignment horizontal="left" vertical="center"/>
    </xf>
    <xf numFmtId="0" fontId="31" fillId="2" borderId="4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32" fillId="0" borderId="0" xfId="0" applyFont="1"/>
    <xf numFmtId="165" fontId="11" fillId="7" borderId="27" xfId="0" applyNumberFormat="1" applyFont="1" applyFill="1" applyBorder="1" applyAlignment="1">
      <alignment vertical="center"/>
    </xf>
    <xf numFmtId="0" fontId="11" fillId="7" borderId="27" xfId="0" applyFont="1" applyFill="1" applyBorder="1" applyAlignment="1">
      <alignment horizontal="right" vertical="center"/>
    </xf>
    <xf numFmtId="0" fontId="10" fillId="2" borderId="27" xfId="0" applyFont="1" applyFill="1" applyBorder="1" applyAlignment="1">
      <alignment horizontal="left" vertical="center"/>
    </xf>
    <xf numFmtId="8" fontId="10" fillId="2" borderId="27" xfId="0" applyNumberFormat="1" applyFont="1" applyFill="1" applyBorder="1" applyAlignment="1">
      <alignment horizontal="center" vertical="center"/>
    </xf>
    <xf numFmtId="8" fontId="10" fillId="2" borderId="31" xfId="0" applyNumberFormat="1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left" vertical="center"/>
    </xf>
    <xf numFmtId="0" fontId="33" fillId="2" borderId="31" xfId="0" applyFont="1" applyFill="1" applyBorder="1" applyAlignment="1">
      <alignment horizontal="left" vertical="center"/>
    </xf>
    <xf numFmtId="8" fontId="33" fillId="2" borderId="31" xfId="0" applyNumberFormat="1" applyFont="1" applyFill="1" applyBorder="1" applyAlignment="1">
      <alignment horizontal="center" vertical="center"/>
    </xf>
    <xf numFmtId="0" fontId="11" fillId="8" borderId="32" xfId="0" applyFont="1" applyFill="1" applyBorder="1" applyAlignment="1">
      <alignment horizontal="left" vertical="center" wrapText="1"/>
    </xf>
    <xf numFmtId="8" fontId="11" fillId="8" borderId="32" xfId="0" applyNumberFormat="1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9" fillId="3" borderId="5" xfId="0" applyFont="1" applyFill="1" applyBorder="1" applyAlignment="1">
      <alignment horizontal="center" vertical="center"/>
    </xf>
    <xf numFmtId="0" fontId="4" fillId="0" borderId="7" xfId="0" applyFont="1" applyBorder="1"/>
    <xf numFmtId="0" fontId="12" fillId="4" borderId="8" xfId="0" applyFont="1" applyFill="1" applyBorder="1" applyAlignment="1">
      <alignment vertical="center"/>
    </xf>
    <xf numFmtId="0" fontId="4" fillId="0" borderId="9" xfId="0" applyFont="1" applyBorder="1"/>
    <xf numFmtId="0" fontId="4" fillId="0" borderId="10" xfId="0" applyFont="1" applyBorder="1"/>
    <xf numFmtId="0" fontId="17" fillId="2" borderId="1" xfId="0" applyFont="1" applyFill="1" applyBorder="1" applyAlignment="1">
      <alignment horizontal="left"/>
    </xf>
    <xf numFmtId="0" fontId="9" fillId="5" borderId="15" xfId="0" applyFont="1" applyFill="1" applyBorder="1" applyAlignment="1">
      <alignment horizontal="center" vertical="center"/>
    </xf>
    <xf numFmtId="0" fontId="4" fillId="0" borderId="17" xfId="0" applyFont="1" applyBorder="1"/>
    <xf numFmtId="0" fontId="21" fillId="6" borderId="18" xfId="0" applyFont="1" applyFill="1" applyBorder="1" applyAlignment="1">
      <alignment horizontal="left" vertical="center"/>
    </xf>
    <xf numFmtId="0" fontId="4" fillId="0" borderId="19" xfId="0" applyFont="1" applyBorder="1"/>
    <xf numFmtId="0" fontId="11" fillId="5" borderId="18" xfId="0" applyFont="1" applyFill="1" applyBorder="1" applyAlignment="1">
      <alignment horizontal="left" vertical="center"/>
    </xf>
    <xf numFmtId="0" fontId="4" fillId="0" borderId="22" xfId="0" applyFont="1" applyBorder="1"/>
    <xf numFmtId="0" fontId="10" fillId="2" borderId="23" xfId="0" applyFont="1" applyFill="1" applyBorder="1" applyAlignment="1">
      <alignment horizontal="left" vertical="center"/>
    </xf>
    <xf numFmtId="0" fontId="4" fillId="0" borderId="24" xfId="0" applyFont="1" applyBorder="1"/>
    <xf numFmtId="0" fontId="4" fillId="0" borderId="25" xfId="0" applyFont="1" applyBorder="1"/>
    <xf numFmtId="0" fontId="10" fillId="2" borderId="18" xfId="0" applyFont="1" applyFill="1" applyBorder="1" applyAlignment="1">
      <alignment horizontal="left" vertical="center"/>
    </xf>
    <xf numFmtId="0" fontId="11" fillId="6" borderId="18" xfId="0" applyFont="1" applyFill="1" applyBorder="1" applyAlignment="1">
      <alignment horizontal="right" vertical="center"/>
    </xf>
    <xf numFmtId="0" fontId="10" fillId="2" borderId="18" xfId="0" applyFont="1" applyFill="1" applyBorder="1"/>
    <xf numFmtId="0" fontId="27" fillId="2" borderId="1" xfId="0" applyFont="1" applyFill="1" applyBorder="1" applyAlignment="1">
      <alignment horizontal="left"/>
    </xf>
    <xf numFmtId="0" fontId="9" fillId="7" borderId="26" xfId="0" applyFont="1" applyFill="1" applyBorder="1" applyAlignment="1">
      <alignment horizontal="center" vertical="center"/>
    </xf>
    <xf numFmtId="0" fontId="4" fillId="0" borderId="28" xfId="0" applyFont="1" applyBorder="1"/>
    <xf numFmtId="0" fontId="30" fillId="8" borderId="29" xfId="0" applyFont="1" applyFill="1" applyBorder="1" applyAlignment="1">
      <alignment horizontal="left" vertical="center"/>
    </xf>
    <xf numFmtId="0" fontId="4" fillId="0" borderId="3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57150</xdr:colOff>
      <xdr:row>5</xdr:row>
      <xdr:rowOff>133350</xdr:rowOff>
    </xdr:from>
    <xdr:ext cx="5362575" cy="3533775"/>
    <xdr:pic>
      <xdr:nvPicPr>
        <xdr:cNvPr id="1048940842" name="Chart1" title="Chart">
          <a:extLst>
            <a:ext uri="{FF2B5EF4-FFF2-40B4-BE49-F238E27FC236}">
              <a16:creationId xmlns:a16="http://schemas.microsoft.com/office/drawing/2014/main" id="{00000000-0008-0000-0200-00002A91853E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ikelounello/Downloads/Copy%20of%20Rumors%20-%20Fall%202025.xlsx" TargetMode="External"/><Relationship Id="rId1" Type="http://schemas.openxmlformats.org/officeDocument/2006/relationships/externalLinkPath" Target="Copy%20of%20Rumors%20-%20Fall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ikelounello/Downloads/Copy%20of%20Dolly%20West's%20Kitchen%20-%20Spring%202026.xlsx" TargetMode="External"/><Relationship Id="rId1" Type="http://schemas.openxmlformats.org/officeDocument/2006/relationships/externalLinkPath" Target="Copy%20of%20Dolly%20West's%20Kitchen%20-%20Spring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enses"/>
      <sheetName val="Credit Card Purchases"/>
    </sheetNames>
    <sheetDataSet>
      <sheetData sheetId="0">
        <row r="38">
          <cell r="D38">
            <v>758.35</v>
          </cell>
          <cell r="E38">
            <v>52.46</v>
          </cell>
          <cell r="F38">
            <v>3251.0499999999993</v>
          </cell>
          <cell r="J38">
            <v>107.1</v>
          </cell>
          <cell r="K38">
            <v>0</v>
          </cell>
          <cell r="L38">
            <v>1596.96</v>
          </cell>
        </row>
        <row r="72">
          <cell r="D72">
            <v>35.92</v>
          </cell>
          <cell r="E72">
            <v>0</v>
          </cell>
          <cell r="F72">
            <v>380.57</v>
          </cell>
          <cell r="J72">
            <v>0</v>
          </cell>
          <cell r="K72">
            <v>112.48</v>
          </cell>
          <cell r="L72">
            <v>0</v>
          </cell>
        </row>
        <row r="79">
          <cell r="D79">
            <v>0</v>
          </cell>
          <cell r="E79">
            <v>0</v>
          </cell>
          <cell r="F79">
            <v>1148.55</v>
          </cell>
        </row>
        <row r="88">
          <cell r="D88">
            <v>160.28</v>
          </cell>
          <cell r="E88">
            <v>0</v>
          </cell>
          <cell r="F88">
            <v>143.38</v>
          </cell>
          <cell r="J88">
            <v>0</v>
          </cell>
          <cell r="K88">
            <v>0</v>
          </cell>
          <cell r="L88">
            <v>525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enses"/>
      <sheetName val="Credit Card Purchases"/>
    </sheetNames>
    <sheetDataSet>
      <sheetData sheetId="0">
        <row r="38">
          <cell r="D38">
            <v>0</v>
          </cell>
          <cell r="E38">
            <v>0</v>
          </cell>
          <cell r="F38">
            <v>0</v>
          </cell>
          <cell r="J38">
            <v>0</v>
          </cell>
          <cell r="K38">
            <v>84.36</v>
          </cell>
          <cell r="L38">
            <v>0</v>
          </cell>
        </row>
        <row r="72">
          <cell r="D72">
            <v>0</v>
          </cell>
          <cell r="E72">
            <v>0</v>
          </cell>
          <cell r="F72">
            <v>0</v>
          </cell>
          <cell r="J72">
            <v>0</v>
          </cell>
          <cell r="K72">
            <v>0</v>
          </cell>
          <cell r="L72">
            <v>0</v>
          </cell>
        </row>
        <row r="79">
          <cell r="D79">
            <v>0</v>
          </cell>
          <cell r="E79">
            <v>0</v>
          </cell>
          <cell r="F79">
            <v>995</v>
          </cell>
        </row>
        <row r="93">
          <cell r="D93">
            <v>0</v>
          </cell>
          <cell r="E93">
            <v>0</v>
          </cell>
          <cell r="F93">
            <v>0</v>
          </cell>
          <cell r="J93">
            <v>0</v>
          </cell>
          <cell r="K93">
            <v>0</v>
          </cell>
          <cell r="L93">
            <v>400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E4500"/>
      </a:accent1>
      <a:accent2>
        <a:srgbClr val="ECE5E8"/>
      </a:accent2>
      <a:accent3>
        <a:srgbClr val="FCE22A"/>
      </a:accent3>
      <a:accent4>
        <a:srgbClr val="347E8C"/>
      </a:accent4>
      <a:accent5>
        <a:srgbClr val="F69B53"/>
      </a:accent5>
      <a:accent6>
        <a:srgbClr val="3C7E51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ena-works-frontend.onrender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fitToPage="1"/>
  </sheetPr>
  <dimension ref="A1:AD1004"/>
  <sheetViews>
    <sheetView showGridLines="0" tabSelected="1" topLeftCell="A2" workbookViewId="0">
      <selection activeCell="C4" sqref="C4"/>
    </sheetView>
  </sheetViews>
  <sheetFormatPr baseColWidth="10" defaultColWidth="12.6640625" defaultRowHeight="15" customHeight="1" x14ac:dyDescent="0.15"/>
  <cols>
    <col min="1" max="1" width="2.83203125" customWidth="1"/>
    <col min="2" max="2" width="41.83203125" customWidth="1"/>
    <col min="3" max="6" width="15.83203125" customWidth="1"/>
    <col min="7" max="7" width="2.83203125" customWidth="1"/>
    <col min="8" max="8" width="30.83203125" customWidth="1"/>
    <col min="9" max="12" width="15.83203125" customWidth="1"/>
    <col min="13" max="13" width="2.83203125" customWidth="1"/>
    <col min="14" max="30" width="9.1640625" customWidth="1"/>
  </cols>
  <sheetData>
    <row r="1" spans="1:30" ht="19.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79.5" customHeight="1" x14ac:dyDescent="0.6">
      <c r="A2" s="3"/>
      <c r="B2" s="103" t="s">
        <v>1</v>
      </c>
      <c r="C2" s="104"/>
      <c r="D2" s="104"/>
      <c r="E2" s="104"/>
      <c r="F2" s="104"/>
      <c r="G2" s="104"/>
      <c r="H2" s="105"/>
      <c r="I2" s="4"/>
      <c r="J2" s="4"/>
      <c r="K2" s="4"/>
      <c r="L2" s="5" t="s">
        <v>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30" customHeight="1" x14ac:dyDescent="0.15">
      <c r="A3" s="3"/>
      <c r="B3" s="6"/>
      <c r="C3" s="7"/>
      <c r="D3" s="7"/>
      <c r="E3" s="7"/>
      <c r="F3" s="7"/>
      <c r="G3" s="7"/>
      <c r="H3" s="7"/>
      <c r="I3" s="4"/>
      <c r="J3" s="4"/>
      <c r="K3" s="4"/>
      <c r="L3" s="8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30" customHeight="1" x14ac:dyDescent="0.15">
      <c r="A4" s="3"/>
      <c r="B4" s="106" t="s">
        <v>3</v>
      </c>
      <c r="C4" s="9" t="s">
        <v>4</v>
      </c>
      <c r="D4" s="9"/>
      <c r="E4" s="9"/>
      <c r="F4" s="10"/>
      <c r="G4" s="10"/>
      <c r="H4" s="10"/>
      <c r="I4" s="11"/>
      <c r="J4" s="11"/>
      <c r="K4" s="11"/>
      <c r="L4" s="11" t="s">
        <v>5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ht="30" customHeight="1" x14ac:dyDescent="0.15">
      <c r="A5" s="3"/>
      <c r="B5" s="107"/>
      <c r="C5" s="108" t="s">
        <v>6</v>
      </c>
      <c r="D5" s="109"/>
      <c r="E5" s="109"/>
      <c r="F5" s="110"/>
      <c r="G5" s="13"/>
      <c r="H5" s="13"/>
      <c r="I5" s="14"/>
      <c r="J5" s="14"/>
      <c r="K5" s="14"/>
      <c r="L5" s="14">
        <f ca="1">SUM(D16,J16,D60,J60)</f>
        <v>15684.199999999997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30" customHeight="1" x14ac:dyDescent="0.15">
      <c r="A6" s="1"/>
      <c r="B6" s="15"/>
      <c r="C6" s="16"/>
      <c r="D6" s="16"/>
      <c r="E6" s="16"/>
      <c r="F6" s="16"/>
      <c r="G6" s="17"/>
      <c r="H6" s="17"/>
      <c r="I6" s="17"/>
      <c r="J6" s="17"/>
      <c r="K6" s="17"/>
      <c r="L6" s="1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30" customHeight="1" x14ac:dyDescent="0.2">
      <c r="A7" s="3"/>
      <c r="B7" s="18" t="s">
        <v>7</v>
      </c>
      <c r="C7" s="19" t="s">
        <v>8</v>
      </c>
      <c r="D7" s="20" t="s">
        <v>9</v>
      </c>
      <c r="E7" s="19" t="s">
        <v>10</v>
      </c>
      <c r="F7" s="19" t="s">
        <v>11</v>
      </c>
      <c r="G7" s="21"/>
      <c r="H7" s="22" t="s">
        <v>12</v>
      </c>
      <c r="I7" s="20" t="s">
        <v>8</v>
      </c>
      <c r="J7" s="20" t="s">
        <v>9</v>
      </c>
      <c r="K7" s="20" t="s">
        <v>10</v>
      </c>
      <c r="L7" s="20" t="s">
        <v>11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ht="30" customHeight="1" x14ac:dyDescent="0.15">
      <c r="A8" s="1"/>
      <c r="B8" s="24" t="s">
        <v>13</v>
      </c>
      <c r="C8" s="25"/>
      <c r="D8" s="25">
        <f>[1]Expenses!$D$38</f>
        <v>758.35</v>
      </c>
      <c r="E8" s="25">
        <f>[1]Expenses!$E$38</f>
        <v>52.46</v>
      </c>
      <c r="F8" s="25">
        <f>[1]Expenses!$F$38</f>
        <v>3251.0499999999993</v>
      </c>
      <c r="G8" s="21"/>
      <c r="H8" s="24" t="s">
        <v>13</v>
      </c>
      <c r="I8" s="25"/>
      <c r="J8" s="25">
        <f>[2]Expenses!$D$38</f>
        <v>0</v>
      </c>
      <c r="K8" s="25">
        <f>[2]Expenses!$E$38</f>
        <v>0</v>
      </c>
      <c r="L8" s="25">
        <f>[2]Expenses!$F$38</f>
        <v>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30" customHeight="1" x14ac:dyDescent="0.15">
      <c r="A9" s="1"/>
      <c r="B9" s="24" t="s">
        <v>14</v>
      </c>
      <c r="C9" s="25"/>
      <c r="D9" s="25">
        <f>[1]Expenses!$J$38</f>
        <v>107.1</v>
      </c>
      <c r="E9" s="25">
        <f>[1]Expenses!$K$38</f>
        <v>0</v>
      </c>
      <c r="F9" s="25">
        <f>[1]Expenses!$L$38</f>
        <v>1596.96</v>
      </c>
      <c r="G9" s="21"/>
      <c r="H9" s="24" t="s">
        <v>14</v>
      </c>
      <c r="I9" s="25"/>
      <c r="J9" s="25">
        <f>[2]Expenses!$J$38</f>
        <v>0</v>
      </c>
      <c r="K9" s="25">
        <f>[2]Expenses!$K$38</f>
        <v>84.36</v>
      </c>
      <c r="L9" s="25">
        <f>[2]Expenses!$L$38</f>
        <v>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30" customHeight="1" x14ac:dyDescent="0.15">
      <c r="A10" s="1"/>
      <c r="B10" s="24" t="s">
        <v>15</v>
      </c>
      <c r="C10" s="25"/>
      <c r="D10" s="25">
        <f>[1]Expenses!$D$72</f>
        <v>35.92</v>
      </c>
      <c r="E10" s="25">
        <f>[1]Expenses!$E$72</f>
        <v>0</v>
      </c>
      <c r="F10" s="25">
        <f>[1]Expenses!$F$72</f>
        <v>380.57</v>
      </c>
      <c r="G10" s="21"/>
      <c r="H10" s="24" t="s">
        <v>15</v>
      </c>
      <c r="I10" s="25"/>
      <c r="J10" s="25">
        <f>[2]Expenses!$D$72</f>
        <v>0</v>
      </c>
      <c r="K10" s="25">
        <f>[2]Expenses!$E$72</f>
        <v>0</v>
      </c>
      <c r="L10" s="25">
        <f>[2]Expenses!$F$72</f>
        <v>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30" customHeight="1" x14ac:dyDescent="0.15">
      <c r="A11" s="1"/>
      <c r="B11" s="24" t="s">
        <v>16</v>
      </c>
      <c r="C11" s="25"/>
      <c r="D11" s="25">
        <f>[1]Expenses!$J$72</f>
        <v>0</v>
      </c>
      <c r="E11" s="25">
        <f>[1]Expenses!$K$72</f>
        <v>112.48</v>
      </c>
      <c r="F11" s="25">
        <f>[1]Expenses!$L$72</f>
        <v>0</v>
      </c>
      <c r="G11" s="21"/>
      <c r="H11" s="24" t="s">
        <v>16</v>
      </c>
      <c r="I11" s="25"/>
      <c r="J11" s="25">
        <f>[2]Expenses!$J$72</f>
        <v>0</v>
      </c>
      <c r="K11" s="25">
        <f>[2]Expenses!$K$72</f>
        <v>0</v>
      </c>
      <c r="L11" s="25">
        <f>[2]Expenses!$L$72</f>
        <v>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30" customHeight="1" x14ac:dyDescent="0.15">
      <c r="A12" s="1"/>
      <c r="B12" s="24" t="s">
        <v>17</v>
      </c>
      <c r="C12" s="25"/>
      <c r="D12" s="25">
        <f>[1]Expenses!$D$79</f>
        <v>0</v>
      </c>
      <c r="E12" s="25">
        <f>[1]Expenses!$E$79</f>
        <v>0</v>
      </c>
      <c r="F12" s="25">
        <f>[1]Expenses!$F$79</f>
        <v>1148.55</v>
      </c>
      <c r="G12" s="21"/>
      <c r="H12" s="24" t="s">
        <v>17</v>
      </c>
      <c r="I12" s="25"/>
      <c r="J12" s="25">
        <f>[2]Expenses!$D$79</f>
        <v>0</v>
      </c>
      <c r="K12" s="25">
        <f>[2]Expenses!$E$79</f>
        <v>0</v>
      </c>
      <c r="L12" s="25">
        <f>[2]Expenses!$F$79</f>
        <v>995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30" customHeight="1" x14ac:dyDescent="0.15">
      <c r="A13" s="1"/>
      <c r="B13" s="24" t="s">
        <v>18</v>
      </c>
      <c r="C13" s="25"/>
      <c r="D13" s="25">
        <f>[1]Expenses!$D$88</f>
        <v>160.28</v>
      </c>
      <c r="E13" s="25">
        <f>[1]Expenses!$E$88</f>
        <v>0</v>
      </c>
      <c r="F13" s="25">
        <f>[1]Expenses!$F$88</f>
        <v>143.38</v>
      </c>
      <c r="G13" s="21"/>
      <c r="H13" s="24" t="s">
        <v>18</v>
      </c>
      <c r="I13" s="25"/>
      <c r="J13" s="25">
        <f>[2]Expenses!$D$93</f>
        <v>0</v>
      </c>
      <c r="K13" s="25">
        <f>[2]Expenses!$E$93</f>
        <v>0</v>
      </c>
      <c r="L13" s="25">
        <f>[2]Expenses!$F$93</f>
        <v>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30" customHeight="1" x14ac:dyDescent="0.15">
      <c r="A14" s="1"/>
      <c r="B14" s="24" t="s">
        <v>19</v>
      </c>
      <c r="C14" s="25"/>
      <c r="D14" s="25">
        <f>[1]Expenses!$J$88</f>
        <v>0</v>
      </c>
      <c r="E14" s="25">
        <f>[1]Expenses!$K$88</f>
        <v>0</v>
      </c>
      <c r="F14" s="25">
        <f>[1]Expenses!$L$88</f>
        <v>525</v>
      </c>
      <c r="G14" s="21"/>
      <c r="H14" s="24" t="s">
        <v>19</v>
      </c>
      <c r="I14" s="25"/>
      <c r="J14" s="25">
        <f>[2]Expenses!$J$93</f>
        <v>0</v>
      </c>
      <c r="K14" s="25">
        <f>[2]Expenses!$K$93</f>
        <v>0</v>
      </c>
      <c r="L14" s="25">
        <f>[2]Expenses!$L$93</f>
        <v>400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30" customHeight="1" x14ac:dyDescent="0.15">
      <c r="A15" s="1"/>
      <c r="B15" s="26"/>
      <c r="C15" s="27" t="s">
        <v>20</v>
      </c>
      <c r="D15" s="27">
        <f t="shared" ref="D15:F15" si="0">SUM(D8:D14)</f>
        <v>1061.6500000000001</v>
      </c>
      <c r="E15" s="27">
        <f t="shared" si="0"/>
        <v>164.94</v>
      </c>
      <c r="F15" s="27">
        <f t="shared" si="0"/>
        <v>7045.5099999999993</v>
      </c>
      <c r="G15" s="21"/>
      <c r="H15" s="26"/>
      <c r="I15" s="27" t="s">
        <v>20</v>
      </c>
      <c r="J15" s="27">
        <f t="shared" ref="J15:L15" si="1">SUM(J8:J14)</f>
        <v>0</v>
      </c>
      <c r="K15" s="27">
        <f t="shared" si="1"/>
        <v>84.36</v>
      </c>
      <c r="L15" s="27">
        <f t="shared" si="1"/>
        <v>1395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30" customHeight="1" x14ac:dyDescent="0.15">
      <c r="A16" s="1"/>
      <c r="B16" s="28">
        <v>7248.55</v>
      </c>
      <c r="C16" s="29" t="s">
        <v>21</v>
      </c>
      <c r="D16" s="29">
        <f>SUM(D15:F15)</f>
        <v>8272.0999999999985</v>
      </c>
      <c r="E16" s="29"/>
      <c r="F16" s="30"/>
      <c r="G16" s="21"/>
      <c r="H16" s="28">
        <v>6095</v>
      </c>
      <c r="I16" s="29" t="s">
        <v>22</v>
      </c>
      <c r="J16" s="29">
        <f>SUM(J15:L15)</f>
        <v>1479.36</v>
      </c>
      <c r="K16" s="29"/>
      <c r="L16" s="3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30" customHeight="1" x14ac:dyDescent="0.15">
      <c r="A17" s="1"/>
      <c r="B17" s="31"/>
      <c r="C17" s="32"/>
      <c r="D17" s="32"/>
      <c r="E17" s="32"/>
      <c r="F17" s="32"/>
      <c r="G17" s="21"/>
      <c r="H17" s="31"/>
      <c r="I17" s="32"/>
      <c r="J17" s="32"/>
      <c r="K17" s="32"/>
      <c r="L17" s="3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30" customHeight="1" x14ac:dyDescent="0.2">
      <c r="A18" s="1"/>
      <c r="B18" s="22" t="s">
        <v>23</v>
      </c>
      <c r="C18" s="20" t="s">
        <v>8</v>
      </c>
      <c r="D18" s="20" t="s">
        <v>9</v>
      </c>
      <c r="E18" s="20" t="s">
        <v>10</v>
      </c>
      <c r="F18" s="20" t="s">
        <v>11</v>
      </c>
      <c r="G18" s="21"/>
      <c r="H18" s="22" t="s">
        <v>24</v>
      </c>
      <c r="I18" s="20" t="s">
        <v>8</v>
      </c>
      <c r="J18" s="20" t="s">
        <v>9</v>
      </c>
      <c r="K18" s="20" t="s">
        <v>10</v>
      </c>
      <c r="L18" s="20" t="s">
        <v>11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30" customHeight="1" x14ac:dyDescent="0.15">
      <c r="A19" s="1"/>
      <c r="B19" s="33" t="s">
        <v>25</v>
      </c>
      <c r="C19" s="34" t="s">
        <v>26</v>
      </c>
      <c r="D19" s="34"/>
      <c r="E19" s="35">
        <v>400</v>
      </c>
      <c r="F19" s="35"/>
      <c r="G19" s="21"/>
      <c r="H19" s="24" t="s">
        <v>27</v>
      </c>
      <c r="I19" s="25"/>
      <c r="J19" s="25"/>
      <c r="K19" s="25"/>
      <c r="L19" s="36">
        <v>749.99</v>
      </c>
      <c r="M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30" customHeight="1" x14ac:dyDescent="0.15">
      <c r="A20" s="1"/>
      <c r="B20" s="33" t="s">
        <v>25</v>
      </c>
      <c r="C20" s="34" t="s">
        <v>28</v>
      </c>
      <c r="D20" s="34"/>
      <c r="E20" s="35">
        <v>400</v>
      </c>
      <c r="F20" s="35"/>
      <c r="G20" s="21"/>
      <c r="H20" s="24" t="s">
        <v>29</v>
      </c>
      <c r="I20" s="25"/>
      <c r="J20" s="25"/>
      <c r="K20" s="25"/>
      <c r="L20" s="36">
        <v>1200</v>
      </c>
      <c r="M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30" customHeight="1" x14ac:dyDescent="0.15">
      <c r="A21" s="1"/>
      <c r="B21" s="33" t="s">
        <v>30</v>
      </c>
      <c r="C21" s="34" t="s">
        <v>31</v>
      </c>
      <c r="D21" s="34"/>
      <c r="E21" s="34"/>
      <c r="F21" s="35">
        <v>226.37</v>
      </c>
      <c r="G21" s="21"/>
      <c r="H21" s="24" t="s">
        <v>32</v>
      </c>
      <c r="I21" s="25"/>
      <c r="J21" s="25"/>
      <c r="K21" s="25"/>
      <c r="L21" s="36">
        <v>400</v>
      </c>
      <c r="M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30" customHeight="1" x14ac:dyDescent="0.15">
      <c r="A22" s="1"/>
      <c r="B22" s="33" t="s">
        <v>33</v>
      </c>
      <c r="C22" s="34" t="s">
        <v>34</v>
      </c>
      <c r="D22" s="34"/>
      <c r="E22" s="34"/>
      <c r="F22" s="35">
        <v>194.4</v>
      </c>
      <c r="G22" s="21"/>
      <c r="H22" s="24" t="s">
        <v>35</v>
      </c>
      <c r="I22" s="25"/>
      <c r="J22" s="25"/>
      <c r="K22" s="25"/>
      <c r="L22" s="36">
        <v>138.79</v>
      </c>
      <c r="M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30" customHeight="1" x14ac:dyDescent="0.15">
      <c r="A23" s="1"/>
      <c r="B23" s="24" t="s">
        <v>36</v>
      </c>
      <c r="C23" s="25" t="s">
        <v>37</v>
      </c>
      <c r="D23" s="25" t="str">
        <f ca="1">IFERROR(__xludf.DUMMYFUNCTION("IMPORTRANGE(""https://docs.google.com/spreadsheets/d/1sZRbdRRzTpKWFUnhV1wm2WFcpJ4ShN_vLQ64iyUnRuY/edit?gid=962100944#gid=962100944"",""Credit Card Purchases!J11"")"),"#REF!")</f>
        <v>#REF!</v>
      </c>
      <c r="E23" s="25"/>
      <c r="F23" s="36"/>
      <c r="G23" s="21"/>
      <c r="H23" s="24" t="s">
        <v>38</v>
      </c>
      <c r="I23" s="25"/>
      <c r="J23" s="25"/>
      <c r="K23" s="25"/>
      <c r="L23" s="36">
        <v>300</v>
      </c>
      <c r="M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30" customHeight="1" x14ac:dyDescent="0.15">
      <c r="A24" s="1"/>
      <c r="B24" s="33" t="s">
        <v>39</v>
      </c>
      <c r="C24" s="34" t="s">
        <v>40</v>
      </c>
      <c r="D24" s="34"/>
      <c r="E24" s="34"/>
      <c r="F24" s="35">
        <v>653.46</v>
      </c>
      <c r="G24" s="21"/>
      <c r="H24" s="24"/>
      <c r="I24" s="25"/>
      <c r="J24" s="25"/>
      <c r="K24" s="25"/>
      <c r="L24" s="36"/>
      <c r="M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30" customHeight="1" x14ac:dyDescent="0.15">
      <c r="A25" s="1"/>
      <c r="B25" s="33" t="s">
        <v>39</v>
      </c>
      <c r="C25" s="34" t="s">
        <v>41</v>
      </c>
      <c r="D25" s="25"/>
      <c r="E25" s="25"/>
      <c r="F25" s="35">
        <v>1499.98</v>
      </c>
      <c r="G25" s="21"/>
      <c r="H25" s="24"/>
      <c r="I25" s="25"/>
      <c r="J25" s="25"/>
      <c r="K25" s="25"/>
      <c r="L25" s="36"/>
      <c r="M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30" customHeight="1" x14ac:dyDescent="0.15">
      <c r="A26" s="1"/>
      <c r="B26" s="33" t="s">
        <v>39</v>
      </c>
      <c r="C26" s="34" t="s">
        <v>42</v>
      </c>
      <c r="D26" s="25"/>
      <c r="E26" s="25"/>
      <c r="F26" s="35">
        <v>59.99</v>
      </c>
      <c r="G26" s="21"/>
      <c r="H26" s="24"/>
      <c r="I26" s="25"/>
      <c r="J26" s="25"/>
      <c r="K26" s="25"/>
      <c r="L26" s="36"/>
      <c r="M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30" customHeight="1" x14ac:dyDescent="0.15">
      <c r="A27" s="1"/>
      <c r="B27" s="33" t="s">
        <v>39</v>
      </c>
      <c r="C27" s="34" t="s">
        <v>43</v>
      </c>
      <c r="D27" s="34"/>
      <c r="E27" s="34"/>
      <c r="F27" s="35">
        <v>28.96</v>
      </c>
      <c r="G27" s="21"/>
      <c r="H27" s="24"/>
      <c r="I27" s="25"/>
      <c r="J27" s="25"/>
      <c r="K27" s="25"/>
      <c r="L27" s="36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30" customHeight="1" x14ac:dyDescent="0.15">
      <c r="A28" s="3"/>
      <c r="B28" s="33" t="s">
        <v>44</v>
      </c>
      <c r="C28" s="34" t="s">
        <v>45</v>
      </c>
      <c r="D28" s="34"/>
      <c r="E28" s="35">
        <v>83.46</v>
      </c>
      <c r="F28" s="35"/>
      <c r="G28" s="21"/>
      <c r="H28" s="24"/>
      <c r="I28" s="25"/>
      <c r="J28" s="25"/>
      <c r="K28" s="25"/>
      <c r="L28" s="36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30" customHeight="1" x14ac:dyDescent="0.15">
      <c r="A29" s="1"/>
      <c r="B29" s="33" t="s">
        <v>39</v>
      </c>
      <c r="C29" s="34" t="s">
        <v>46</v>
      </c>
      <c r="D29" s="34"/>
      <c r="E29" s="34"/>
      <c r="F29" s="35">
        <v>347.33</v>
      </c>
      <c r="G29" s="21"/>
      <c r="H29" s="24"/>
      <c r="I29" s="25"/>
      <c r="J29" s="25"/>
      <c r="K29" s="25"/>
      <c r="L29" s="36"/>
      <c r="M29" s="2"/>
      <c r="N29" s="37"/>
      <c r="O29" s="37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30" customHeight="1" x14ac:dyDescent="0.15">
      <c r="A30" s="1"/>
      <c r="B30" s="38" t="s">
        <v>39</v>
      </c>
      <c r="C30" s="39" t="s">
        <v>41</v>
      </c>
      <c r="D30" s="40"/>
      <c r="E30" s="40"/>
      <c r="F30" s="41">
        <v>-749.99</v>
      </c>
      <c r="G30" s="42" t="s">
        <v>47</v>
      </c>
      <c r="H30" s="24"/>
      <c r="I30" s="25"/>
      <c r="J30" s="25"/>
      <c r="K30" s="25"/>
      <c r="L30" s="36"/>
      <c r="M30" s="2"/>
      <c r="N30" s="37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30" customHeight="1" x14ac:dyDescent="0.15">
      <c r="A31" s="1"/>
      <c r="B31" s="24"/>
      <c r="C31" s="25"/>
      <c r="D31" s="25"/>
      <c r="E31" s="25"/>
      <c r="F31" s="36"/>
      <c r="G31" s="21"/>
      <c r="H31" s="24"/>
      <c r="I31" s="25"/>
      <c r="J31" s="25"/>
      <c r="K31" s="25"/>
      <c r="L31" s="36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30" customHeight="1" x14ac:dyDescent="0.15">
      <c r="A32" s="1"/>
      <c r="B32" s="24"/>
      <c r="C32" s="25"/>
      <c r="D32" s="25"/>
      <c r="E32" s="25"/>
      <c r="F32" s="36"/>
      <c r="G32" s="21"/>
      <c r="H32" s="24"/>
      <c r="I32" s="25"/>
      <c r="J32" s="25"/>
      <c r="K32" s="25"/>
      <c r="L32" s="36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30" customHeight="1" x14ac:dyDescent="0.15">
      <c r="A33" s="1"/>
      <c r="B33" s="24"/>
      <c r="C33" s="25"/>
      <c r="D33" s="25"/>
      <c r="E33" s="25"/>
      <c r="F33" s="36"/>
      <c r="G33" s="21"/>
      <c r="H33" s="24"/>
      <c r="I33" s="25"/>
      <c r="J33" s="25"/>
      <c r="K33" s="25"/>
      <c r="L33" s="36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30" customHeight="1" x14ac:dyDescent="0.15">
      <c r="A34" s="3"/>
      <c r="B34" s="24"/>
      <c r="C34" s="25"/>
      <c r="D34" s="25"/>
      <c r="E34" s="25"/>
      <c r="F34" s="36"/>
      <c r="G34" s="21"/>
      <c r="H34" s="24"/>
      <c r="I34" s="25"/>
      <c r="J34" s="25"/>
      <c r="K34" s="25"/>
      <c r="L34" s="36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30" customHeight="1" x14ac:dyDescent="0.15">
      <c r="A35" s="1"/>
      <c r="B35" s="24"/>
      <c r="C35" s="25"/>
      <c r="D35" s="25"/>
      <c r="E35" s="25"/>
      <c r="F35" s="36"/>
      <c r="G35" s="21"/>
      <c r="H35" s="24"/>
      <c r="I35" s="25"/>
      <c r="J35" s="25"/>
      <c r="K35" s="25"/>
      <c r="L35" s="36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30" customHeight="1" x14ac:dyDescent="0.15">
      <c r="A36" s="1"/>
      <c r="B36" s="24"/>
      <c r="C36" s="25"/>
      <c r="D36" s="25"/>
      <c r="E36" s="25"/>
      <c r="F36" s="36"/>
      <c r="G36" s="21"/>
      <c r="H36" s="24"/>
      <c r="I36" s="25"/>
      <c r="J36" s="25"/>
      <c r="K36" s="25"/>
      <c r="L36" s="36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30" customHeight="1" x14ac:dyDescent="0.15">
      <c r="A37" s="1"/>
      <c r="B37" s="24"/>
      <c r="C37" s="25"/>
      <c r="D37" s="25"/>
      <c r="E37" s="25"/>
      <c r="F37" s="36"/>
      <c r="G37" s="21"/>
      <c r="H37" s="24"/>
      <c r="I37" s="25"/>
      <c r="J37" s="25"/>
      <c r="K37" s="25"/>
      <c r="L37" s="36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30" customHeight="1" x14ac:dyDescent="0.15">
      <c r="A38" s="1"/>
      <c r="B38" s="24"/>
      <c r="C38" s="25"/>
      <c r="D38" s="25"/>
      <c r="E38" s="25"/>
      <c r="F38" s="36"/>
      <c r="G38" s="21"/>
      <c r="H38" s="24"/>
      <c r="I38" s="25"/>
      <c r="J38" s="25"/>
      <c r="K38" s="25"/>
      <c r="L38" s="36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30" customHeight="1" x14ac:dyDescent="0.15">
      <c r="A39" s="1"/>
      <c r="B39" s="24"/>
      <c r="C39" s="25"/>
      <c r="D39" s="25"/>
      <c r="E39" s="25"/>
      <c r="F39" s="36"/>
      <c r="G39" s="21"/>
      <c r="H39" s="24"/>
      <c r="I39" s="25"/>
      <c r="J39" s="25"/>
      <c r="K39" s="25"/>
      <c r="L39" s="36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30" customHeight="1" x14ac:dyDescent="0.15">
      <c r="A40" s="1"/>
      <c r="B40" s="24"/>
      <c r="C40" s="25"/>
      <c r="D40" s="25"/>
      <c r="E40" s="25"/>
      <c r="F40" s="36"/>
      <c r="G40" s="21"/>
      <c r="H40" s="24"/>
      <c r="I40" s="25"/>
      <c r="J40" s="25"/>
      <c r="K40" s="25"/>
      <c r="L40" s="36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30" customHeight="1" x14ac:dyDescent="0.15">
      <c r="A41" s="1"/>
      <c r="B41" s="24"/>
      <c r="C41" s="25"/>
      <c r="D41" s="25"/>
      <c r="E41" s="25"/>
      <c r="F41" s="36"/>
      <c r="G41" s="21"/>
      <c r="H41" s="24"/>
      <c r="I41" s="25"/>
      <c r="J41" s="25"/>
      <c r="K41" s="25"/>
      <c r="L41" s="36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30" customHeight="1" x14ac:dyDescent="0.15">
      <c r="A42" s="1"/>
      <c r="B42" s="24"/>
      <c r="C42" s="25"/>
      <c r="D42" s="25"/>
      <c r="E42" s="25"/>
      <c r="F42" s="36"/>
      <c r="G42" s="21"/>
      <c r="H42" s="24"/>
      <c r="I42" s="25"/>
      <c r="J42" s="25"/>
      <c r="K42" s="25"/>
      <c r="L42" s="36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30" customHeight="1" x14ac:dyDescent="0.15">
      <c r="A43" s="1"/>
      <c r="B43" s="24"/>
      <c r="C43" s="25"/>
      <c r="D43" s="25"/>
      <c r="E43" s="25"/>
      <c r="F43" s="36"/>
      <c r="G43" s="21"/>
      <c r="H43" s="24"/>
      <c r="I43" s="25"/>
      <c r="J43" s="25"/>
      <c r="K43" s="25"/>
      <c r="L43" s="36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30" customHeight="1" x14ac:dyDescent="0.15">
      <c r="A44" s="1"/>
      <c r="B44" s="24"/>
      <c r="C44" s="25"/>
      <c r="D44" s="25"/>
      <c r="E44" s="25"/>
      <c r="F44" s="36"/>
      <c r="G44" s="21"/>
      <c r="H44" s="24"/>
      <c r="I44" s="25"/>
      <c r="J44" s="25"/>
      <c r="K44" s="25"/>
      <c r="L44" s="36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30" customHeight="1" x14ac:dyDescent="0.15">
      <c r="A45" s="1"/>
      <c r="B45" s="24"/>
      <c r="C45" s="25"/>
      <c r="D45" s="25"/>
      <c r="E45" s="25"/>
      <c r="F45" s="36"/>
      <c r="G45" s="21"/>
      <c r="H45" s="24"/>
      <c r="I45" s="25"/>
      <c r="J45" s="25"/>
      <c r="K45" s="25"/>
      <c r="L45" s="36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30" customHeight="1" x14ac:dyDescent="0.15">
      <c r="A46" s="1"/>
      <c r="B46" s="24"/>
      <c r="C46" s="25"/>
      <c r="D46" s="25"/>
      <c r="E46" s="25"/>
      <c r="F46" s="36"/>
      <c r="G46" s="21"/>
      <c r="H46" s="24"/>
      <c r="I46" s="25"/>
      <c r="J46" s="25"/>
      <c r="K46" s="25"/>
      <c r="L46" s="36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30" customHeight="1" x14ac:dyDescent="0.15">
      <c r="A47" s="1"/>
      <c r="B47" s="24"/>
      <c r="C47" s="25"/>
      <c r="D47" s="25"/>
      <c r="E47" s="25"/>
      <c r="F47" s="36"/>
      <c r="G47" s="21"/>
      <c r="H47" s="24"/>
      <c r="I47" s="25"/>
      <c r="J47" s="25"/>
      <c r="K47" s="25"/>
      <c r="L47" s="36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30" customHeight="1" x14ac:dyDescent="0.15">
      <c r="A48" s="1"/>
      <c r="B48" s="24"/>
      <c r="C48" s="25"/>
      <c r="D48" s="25"/>
      <c r="E48" s="25"/>
      <c r="F48" s="36"/>
      <c r="G48" s="21"/>
      <c r="H48" s="24"/>
      <c r="I48" s="25"/>
      <c r="J48" s="25"/>
      <c r="K48" s="25"/>
      <c r="L48" s="36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30" customHeight="1" x14ac:dyDescent="0.15">
      <c r="A49" s="1"/>
      <c r="B49" s="24"/>
      <c r="C49" s="25"/>
      <c r="D49" s="25"/>
      <c r="E49" s="25"/>
      <c r="F49" s="36"/>
      <c r="G49" s="21"/>
      <c r="H49" s="24"/>
      <c r="I49" s="25"/>
      <c r="J49" s="25"/>
      <c r="K49" s="25"/>
      <c r="L49" s="36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30" customHeight="1" x14ac:dyDescent="0.15">
      <c r="A50" s="1"/>
      <c r="B50" s="24"/>
      <c r="C50" s="25"/>
      <c r="D50" s="25"/>
      <c r="E50" s="25"/>
      <c r="F50" s="36"/>
      <c r="G50" s="21"/>
      <c r="H50" s="24"/>
      <c r="I50" s="25"/>
      <c r="J50" s="25"/>
      <c r="K50" s="25"/>
      <c r="L50" s="36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30" customHeight="1" x14ac:dyDescent="0.15">
      <c r="A51" s="1"/>
      <c r="B51" s="24"/>
      <c r="C51" s="25"/>
      <c r="D51" s="25"/>
      <c r="E51" s="25"/>
      <c r="F51" s="36"/>
      <c r="G51" s="21"/>
      <c r="H51" s="24"/>
      <c r="I51" s="25"/>
      <c r="J51" s="25"/>
      <c r="K51" s="25"/>
      <c r="L51" s="36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30" customHeight="1" x14ac:dyDescent="0.15">
      <c r="A52" s="1"/>
      <c r="B52" s="24"/>
      <c r="C52" s="25"/>
      <c r="D52" s="25"/>
      <c r="E52" s="25"/>
      <c r="F52" s="36"/>
      <c r="G52" s="21"/>
      <c r="H52" s="24"/>
      <c r="I52" s="25"/>
      <c r="J52" s="25"/>
      <c r="K52" s="25"/>
      <c r="L52" s="36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30" customHeight="1" x14ac:dyDescent="0.15">
      <c r="A53" s="1"/>
      <c r="B53" s="24"/>
      <c r="C53" s="25"/>
      <c r="D53" s="25"/>
      <c r="E53" s="25"/>
      <c r="F53" s="36"/>
      <c r="G53" s="21"/>
      <c r="H53" s="24"/>
      <c r="I53" s="25"/>
      <c r="J53" s="25"/>
      <c r="K53" s="25"/>
      <c r="L53" s="36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30" customHeight="1" x14ac:dyDescent="0.15">
      <c r="A54" s="1"/>
      <c r="B54" s="24"/>
      <c r="C54" s="25"/>
      <c r="D54" s="25"/>
      <c r="E54" s="25"/>
      <c r="F54" s="36"/>
      <c r="G54" s="21"/>
      <c r="H54" s="24"/>
      <c r="I54" s="25"/>
      <c r="J54" s="25"/>
      <c r="K54" s="25"/>
      <c r="L54" s="36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30" customHeight="1" x14ac:dyDescent="0.15">
      <c r="A55" s="1"/>
      <c r="B55" s="24"/>
      <c r="C55" s="25"/>
      <c r="D55" s="25"/>
      <c r="E55" s="25"/>
      <c r="F55" s="36"/>
      <c r="G55" s="21"/>
      <c r="H55" s="24"/>
      <c r="I55" s="25"/>
      <c r="J55" s="25"/>
      <c r="K55" s="25"/>
      <c r="L55" s="36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30" customHeight="1" x14ac:dyDescent="0.15">
      <c r="A56" s="1"/>
      <c r="B56" s="24"/>
      <c r="C56" s="25"/>
      <c r="D56" s="25"/>
      <c r="E56" s="25"/>
      <c r="F56" s="36"/>
      <c r="G56" s="21"/>
      <c r="H56" s="24"/>
      <c r="I56" s="25"/>
      <c r="J56" s="25"/>
      <c r="K56" s="25"/>
      <c r="L56" s="36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30" customHeight="1" x14ac:dyDescent="0.15">
      <c r="A57" s="1"/>
      <c r="B57" s="24"/>
      <c r="C57" s="25"/>
      <c r="D57" s="25"/>
      <c r="E57" s="25"/>
      <c r="F57" s="36"/>
      <c r="G57" s="21"/>
      <c r="H57" s="24"/>
      <c r="I57" s="25"/>
      <c r="J57" s="25"/>
      <c r="K57" s="25"/>
      <c r="L57" s="36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30" customHeight="1" x14ac:dyDescent="0.15">
      <c r="A58" s="1"/>
      <c r="B58" s="24"/>
      <c r="C58" s="25"/>
      <c r="D58" s="25"/>
      <c r="E58" s="25"/>
      <c r="F58" s="36"/>
      <c r="G58" s="21"/>
      <c r="H58" s="24"/>
      <c r="I58" s="25"/>
      <c r="J58" s="25"/>
      <c r="K58" s="25"/>
      <c r="L58" s="36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30" customHeight="1" x14ac:dyDescent="0.15">
      <c r="A59" s="1"/>
      <c r="B59" s="43"/>
      <c r="C59" s="27" t="s">
        <v>20</v>
      </c>
      <c r="D59" s="27">
        <f t="shared" ref="D59:F59" ca="1" si="2">SUM(D19:D58)</f>
        <v>0</v>
      </c>
      <c r="E59" s="27">
        <f t="shared" si="2"/>
        <v>883.46</v>
      </c>
      <c r="F59" s="27">
        <f t="shared" si="2"/>
        <v>2260.5</v>
      </c>
      <c r="G59" s="21"/>
      <c r="H59" s="43"/>
      <c r="I59" s="27" t="s">
        <v>20</v>
      </c>
      <c r="J59" s="27">
        <f t="shared" ref="J59:L59" si="3">SUM(J19:J58)</f>
        <v>0</v>
      </c>
      <c r="K59" s="27">
        <f t="shared" si="3"/>
        <v>0</v>
      </c>
      <c r="L59" s="27">
        <f t="shared" si="3"/>
        <v>2788.7799999999997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30" customHeight="1" x14ac:dyDescent="0.15">
      <c r="A60" s="1"/>
      <c r="B60" s="44">
        <v>1250</v>
      </c>
      <c r="C60" s="29" t="s">
        <v>21</v>
      </c>
      <c r="D60" s="29">
        <f ca="1">SUM(D59:F59)</f>
        <v>3143.96</v>
      </c>
      <c r="E60" s="29"/>
      <c r="F60" s="30"/>
      <c r="G60" s="21"/>
      <c r="H60" s="44">
        <v>1250</v>
      </c>
      <c r="I60" s="29" t="s">
        <v>21</v>
      </c>
      <c r="J60" s="29">
        <f>SUM(J59:L59)</f>
        <v>2788.7799999999997</v>
      </c>
      <c r="K60" s="29"/>
      <c r="L60" s="30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30" customHeight="1" x14ac:dyDescent="0.15">
      <c r="A61" s="1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2"/>
      <c r="N61" s="2"/>
      <c r="O61" s="45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30" customHeight="1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30" customHeight="1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30" customHeight="1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30" customHeight="1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30" customHeight="1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30" customHeight="1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30" customHeight="1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30" customHeight="1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30" customHeight="1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30" customHeight="1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30" customHeight="1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30" customHeight="1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30" customHeight="1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30" customHeight="1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30" customHeight="1" x14ac:dyDescent="0.1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30" customHeight="1" x14ac:dyDescent="0.1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30" customHeight="1" x14ac:dyDescent="0.1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30" customHeight="1" x14ac:dyDescent="0.1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30" customHeight="1" x14ac:dyDescent="0.1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30" customHeight="1" x14ac:dyDescent="0.1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30" customHeight="1" x14ac:dyDescent="0.1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30" customHeight="1" x14ac:dyDescent="0.1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30" customHeight="1" x14ac:dyDescent="0.1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30" customHeight="1" x14ac:dyDescent="0.1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30" customHeight="1" x14ac:dyDescent="0.1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30" customHeight="1" x14ac:dyDescent="0.1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30" customHeight="1" x14ac:dyDescent="0.1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30" customHeight="1" x14ac:dyDescent="0.1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30" customHeight="1" x14ac:dyDescent="0.1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30" customHeight="1" x14ac:dyDescent="0.1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30" customHeight="1" x14ac:dyDescent="0.1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30" customHeight="1" x14ac:dyDescent="0.1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30" customHeight="1" x14ac:dyDescent="0.1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30" customHeight="1" x14ac:dyDescent="0.1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30" customHeight="1" x14ac:dyDescent="0.1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30" customHeight="1" x14ac:dyDescent="0.1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30" customHeight="1" x14ac:dyDescent="0.1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30" customHeight="1" x14ac:dyDescent="0.1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30" customHeight="1" x14ac:dyDescent="0.1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30" customHeight="1" x14ac:dyDescent="0.1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30" customHeight="1" x14ac:dyDescent="0.1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30" customHeight="1" x14ac:dyDescent="0.1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30" customHeight="1" x14ac:dyDescent="0.1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30" customHeight="1" x14ac:dyDescent="0.1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30" customHeight="1" x14ac:dyDescent="0.1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30" customHeight="1" x14ac:dyDescent="0.1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30" customHeight="1" x14ac:dyDescent="0.1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30" customHeight="1" x14ac:dyDescent="0.1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30" customHeight="1" x14ac:dyDescent="0.1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30" customHeight="1" x14ac:dyDescent="0.1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30" customHeight="1" x14ac:dyDescent="0.1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30" customHeight="1" x14ac:dyDescent="0.1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30" customHeight="1" x14ac:dyDescent="0.1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30" customHeight="1" x14ac:dyDescent="0.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30" customHeight="1" x14ac:dyDescent="0.1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30" customHeight="1" x14ac:dyDescent="0.1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30" customHeight="1" x14ac:dyDescent="0.1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30" customHeight="1" x14ac:dyDescent="0.1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30" customHeight="1" x14ac:dyDescent="0.1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30" customHeight="1" x14ac:dyDescent="0.1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30" customHeight="1" x14ac:dyDescent="0.1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30" customHeight="1" x14ac:dyDescent="0.1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30" customHeight="1" x14ac:dyDescent="0.1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30" customHeight="1" x14ac:dyDescent="0.1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30" customHeight="1" x14ac:dyDescent="0.1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30" customHeight="1" x14ac:dyDescent="0.1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30" customHeight="1" x14ac:dyDescent="0.1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30" customHeight="1" x14ac:dyDescent="0.1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30" customHeight="1" x14ac:dyDescent="0.1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30" customHeight="1" x14ac:dyDescent="0.1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30" customHeight="1" x14ac:dyDescent="0.1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30" customHeight="1" x14ac:dyDescent="0.1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30" customHeight="1" x14ac:dyDescent="0.1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30" customHeight="1" x14ac:dyDescent="0.1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30" customHeight="1" x14ac:dyDescent="0.1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30" customHeight="1" x14ac:dyDescent="0.1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30" customHeight="1" x14ac:dyDescent="0.1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30" customHeight="1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30" customHeight="1" x14ac:dyDescent="0.1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30" customHeight="1" x14ac:dyDescent="0.1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30" customHeight="1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30" customHeight="1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30" customHeight="1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30" customHeight="1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30" customHeight="1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30" customHeight="1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30" customHeight="1" x14ac:dyDescent="0.1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30" customHeight="1" x14ac:dyDescent="0.1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30" customHeight="1" x14ac:dyDescent="0.1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30" customHeight="1" x14ac:dyDescent="0.1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30" customHeight="1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30" customHeight="1" x14ac:dyDescent="0.1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30" customHeight="1" x14ac:dyDescent="0.1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30" customHeight="1" x14ac:dyDescent="0.1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30" customHeight="1" x14ac:dyDescent="0.1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30" customHeight="1" x14ac:dyDescent="0.1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30" customHeight="1" x14ac:dyDescent="0.1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30" customHeight="1" x14ac:dyDescent="0.1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30" customHeight="1" x14ac:dyDescent="0.1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30" customHeight="1" x14ac:dyDescent="0.1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30" customHeight="1" x14ac:dyDescent="0.1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30" customHeight="1" x14ac:dyDescent="0.1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30" customHeight="1" x14ac:dyDescent="0.1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30" customHeight="1" x14ac:dyDescent="0.1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30" customHeight="1" x14ac:dyDescent="0.1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30" customHeight="1" x14ac:dyDescent="0.1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30" customHeight="1" x14ac:dyDescent="0.1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30" customHeight="1" x14ac:dyDescent="0.1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30" customHeight="1" x14ac:dyDescent="0.1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30" customHeight="1" x14ac:dyDescent="0.1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30" customHeight="1" x14ac:dyDescent="0.1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30" customHeight="1" x14ac:dyDescent="0.1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30" customHeight="1" x14ac:dyDescent="0.1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30" customHeight="1" x14ac:dyDescent="0.1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30" customHeight="1" x14ac:dyDescent="0.1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30" customHeight="1" x14ac:dyDescent="0.1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30" customHeight="1" x14ac:dyDescent="0.1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30" customHeight="1" x14ac:dyDescent="0.1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30" customHeight="1" x14ac:dyDescent="0.1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30" customHeight="1" x14ac:dyDescent="0.1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30" customHeight="1" x14ac:dyDescent="0.1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30" customHeight="1" x14ac:dyDescent="0.1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30" customHeight="1" x14ac:dyDescent="0.1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30" customHeight="1" x14ac:dyDescent="0.1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30" customHeight="1" x14ac:dyDescent="0.1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30" customHeight="1" x14ac:dyDescent="0.1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30" customHeight="1" x14ac:dyDescent="0.1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30" customHeight="1" x14ac:dyDescent="0.1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30" customHeight="1" x14ac:dyDescent="0.1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30" customHeight="1" x14ac:dyDescent="0.1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30" customHeight="1" x14ac:dyDescent="0.1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30" customHeight="1" x14ac:dyDescent="0.1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30" customHeight="1" x14ac:dyDescent="0.1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30" customHeight="1" x14ac:dyDescent="0.1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30" customHeight="1" x14ac:dyDescent="0.1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30" customHeight="1" x14ac:dyDescent="0.1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30" customHeight="1" x14ac:dyDescent="0.1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30" customHeight="1" x14ac:dyDescent="0.1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30" customHeight="1" x14ac:dyDescent="0.1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30" customHeight="1" x14ac:dyDescent="0.1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30" customHeight="1" x14ac:dyDescent="0.1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30" customHeight="1" x14ac:dyDescent="0.1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30" customHeight="1" x14ac:dyDescent="0.1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30" customHeight="1" x14ac:dyDescent="0.1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30" customHeight="1" x14ac:dyDescent="0.1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30" customHeight="1" x14ac:dyDescent="0.1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30" customHeight="1" x14ac:dyDescent="0.1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30" customHeight="1" x14ac:dyDescent="0.1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30" customHeight="1" x14ac:dyDescent="0.1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30" customHeight="1" x14ac:dyDescent="0.1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30" customHeight="1" x14ac:dyDescent="0.1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30" customHeight="1" x14ac:dyDescent="0.1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30" customHeight="1" x14ac:dyDescent="0.1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30" customHeight="1" x14ac:dyDescent="0.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30" customHeight="1" x14ac:dyDescent="0.1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30" customHeight="1" x14ac:dyDescent="0.1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30" customHeight="1" x14ac:dyDescent="0.1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30" customHeight="1" x14ac:dyDescent="0.1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30" customHeight="1" x14ac:dyDescent="0.1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30" customHeight="1" x14ac:dyDescent="0.1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30" customHeight="1" x14ac:dyDescent="0.1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30" customHeight="1" x14ac:dyDescent="0.1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30" customHeight="1" x14ac:dyDescent="0.1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30" customHeight="1" x14ac:dyDescent="0.1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30" customHeight="1" x14ac:dyDescent="0.1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30" customHeight="1" x14ac:dyDescent="0.1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30" customHeight="1" x14ac:dyDescent="0.1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30" customHeight="1" x14ac:dyDescent="0.1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30" customHeight="1" x14ac:dyDescent="0.1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30" customHeight="1" x14ac:dyDescent="0.1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30" customHeight="1" x14ac:dyDescent="0.1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30" customHeight="1" x14ac:dyDescent="0.1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30" customHeight="1" x14ac:dyDescent="0.1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30" customHeight="1" x14ac:dyDescent="0.1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30" customHeight="1" x14ac:dyDescent="0.1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30" customHeight="1" x14ac:dyDescent="0.1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30" customHeight="1" x14ac:dyDescent="0.1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30" customHeight="1" x14ac:dyDescent="0.1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30" customHeight="1" x14ac:dyDescent="0.1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30" customHeight="1" x14ac:dyDescent="0.1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30" customHeight="1" x14ac:dyDescent="0.1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30" customHeight="1" x14ac:dyDescent="0.1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30" customHeight="1" x14ac:dyDescent="0.1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30" customHeight="1" x14ac:dyDescent="0.1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30" customHeight="1" x14ac:dyDescent="0.1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30" customHeight="1" x14ac:dyDescent="0.1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30" customHeight="1" x14ac:dyDescent="0.1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30" customHeight="1" x14ac:dyDescent="0.1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30" customHeight="1" x14ac:dyDescent="0.1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30" customHeight="1" x14ac:dyDescent="0.1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30" customHeight="1" x14ac:dyDescent="0.1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30" customHeight="1" x14ac:dyDescent="0.1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30" customHeight="1" x14ac:dyDescent="0.1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30" customHeight="1" x14ac:dyDescent="0.1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30" customHeight="1" x14ac:dyDescent="0.1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30" customHeight="1" x14ac:dyDescent="0.1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30" customHeight="1" x14ac:dyDescent="0.1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30" customHeight="1" x14ac:dyDescent="0.1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30" customHeight="1" x14ac:dyDescent="0.1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30" customHeight="1" x14ac:dyDescent="0.1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30" customHeight="1" x14ac:dyDescent="0.1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30" customHeight="1" x14ac:dyDescent="0.1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30" customHeight="1" x14ac:dyDescent="0.1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30" customHeight="1" x14ac:dyDescent="0.1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30" customHeight="1" x14ac:dyDescent="0.1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30" customHeight="1" x14ac:dyDescent="0.1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30" customHeight="1" x14ac:dyDescent="0.1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30" customHeight="1" x14ac:dyDescent="0.1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30" customHeight="1" x14ac:dyDescent="0.1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30" customHeight="1" x14ac:dyDescent="0.1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30" customHeight="1" x14ac:dyDescent="0.1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30" customHeight="1" x14ac:dyDescent="0.1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30" customHeight="1" x14ac:dyDescent="0.1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30" customHeight="1" x14ac:dyDescent="0.1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30" customHeight="1" x14ac:dyDescent="0.1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30" customHeight="1" x14ac:dyDescent="0.1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30" customHeight="1" x14ac:dyDescent="0.1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30" customHeight="1" x14ac:dyDescent="0.1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30" customHeight="1" x14ac:dyDescent="0.1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30" customHeight="1" x14ac:dyDescent="0.1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30" customHeight="1" x14ac:dyDescent="0.1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30" customHeight="1" x14ac:dyDescent="0.1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30" customHeight="1" x14ac:dyDescent="0.1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30" customHeight="1" x14ac:dyDescent="0.1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30" customHeight="1" x14ac:dyDescent="0.1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30" customHeight="1" x14ac:dyDescent="0.1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30" customHeight="1" x14ac:dyDescent="0.1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30" customHeight="1" x14ac:dyDescent="0.1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30" customHeight="1" x14ac:dyDescent="0.1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30" customHeight="1" x14ac:dyDescent="0.1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30" customHeight="1" x14ac:dyDescent="0.1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30" customHeight="1" x14ac:dyDescent="0.1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30" customHeight="1" x14ac:dyDescent="0.1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30" customHeight="1" x14ac:dyDescent="0.1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30" customHeight="1" x14ac:dyDescent="0.1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30" customHeight="1" x14ac:dyDescent="0.1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30" customHeight="1" x14ac:dyDescent="0.1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30" customHeight="1" x14ac:dyDescent="0.1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30" customHeight="1" x14ac:dyDescent="0.1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30" customHeight="1" x14ac:dyDescent="0.1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30" customHeight="1" x14ac:dyDescent="0.1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30" customHeight="1" x14ac:dyDescent="0.1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30" customHeight="1" x14ac:dyDescent="0.1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30" customHeight="1" x14ac:dyDescent="0.1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30" customHeight="1" x14ac:dyDescent="0.1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30" customHeight="1" x14ac:dyDescent="0.1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30" customHeight="1" x14ac:dyDescent="0.1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30" customHeight="1" x14ac:dyDescent="0.1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30" customHeight="1" x14ac:dyDescent="0.1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30" customHeight="1" x14ac:dyDescent="0.1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30" customHeight="1" x14ac:dyDescent="0.1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30" customHeight="1" x14ac:dyDescent="0.1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30" customHeight="1" x14ac:dyDescent="0.1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30" customHeight="1" x14ac:dyDescent="0.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30" customHeight="1" x14ac:dyDescent="0.1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30" customHeight="1" x14ac:dyDescent="0.1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30" customHeight="1" x14ac:dyDescent="0.1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30" customHeight="1" x14ac:dyDescent="0.1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30" customHeight="1" x14ac:dyDescent="0.1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30" customHeight="1" x14ac:dyDescent="0.1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30" customHeight="1" x14ac:dyDescent="0.1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30" customHeight="1" x14ac:dyDescent="0.1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30" customHeight="1" x14ac:dyDescent="0.1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30" customHeight="1" x14ac:dyDescent="0.1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30" customHeight="1" x14ac:dyDescent="0.1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30" customHeight="1" x14ac:dyDescent="0.1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30" customHeight="1" x14ac:dyDescent="0.1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30" customHeight="1" x14ac:dyDescent="0.1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30" customHeight="1" x14ac:dyDescent="0.1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30" customHeight="1" x14ac:dyDescent="0.1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30" customHeight="1" x14ac:dyDescent="0.1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30" customHeight="1" x14ac:dyDescent="0.1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30" customHeight="1" x14ac:dyDescent="0.1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30" customHeight="1" x14ac:dyDescent="0.1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30" customHeight="1" x14ac:dyDescent="0.1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30" customHeight="1" x14ac:dyDescent="0.1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30" customHeight="1" x14ac:dyDescent="0.1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30" customHeight="1" x14ac:dyDescent="0.1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30" customHeight="1" x14ac:dyDescent="0.1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30" customHeight="1" x14ac:dyDescent="0.1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30" customHeight="1" x14ac:dyDescent="0.1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30" customHeight="1" x14ac:dyDescent="0.1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30" customHeight="1" x14ac:dyDescent="0.1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30" customHeight="1" x14ac:dyDescent="0.1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30" customHeight="1" x14ac:dyDescent="0.1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30" customHeight="1" x14ac:dyDescent="0.1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30" customHeight="1" x14ac:dyDescent="0.1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30" customHeight="1" x14ac:dyDescent="0.1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30" customHeight="1" x14ac:dyDescent="0.1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30" customHeight="1" x14ac:dyDescent="0.1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30" customHeight="1" x14ac:dyDescent="0.1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30" customHeight="1" x14ac:dyDescent="0.1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30" customHeight="1" x14ac:dyDescent="0.1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30" customHeight="1" x14ac:dyDescent="0.1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30" customHeight="1" x14ac:dyDescent="0.1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30" customHeight="1" x14ac:dyDescent="0.1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30" customHeight="1" x14ac:dyDescent="0.1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30" customHeight="1" x14ac:dyDescent="0.1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30" customHeight="1" x14ac:dyDescent="0.1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30" customHeight="1" x14ac:dyDescent="0.1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30" customHeight="1" x14ac:dyDescent="0.1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30" customHeight="1" x14ac:dyDescent="0.1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30" customHeight="1" x14ac:dyDescent="0.1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30" customHeight="1" x14ac:dyDescent="0.1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30" customHeight="1" x14ac:dyDescent="0.1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30" customHeight="1" x14ac:dyDescent="0.1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30" customHeight="1" x14ac:dyDescent="0.1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30" customHeight="1" x14ac:dyDescent="0.1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30" customHeight="1" x14ac:dyDescent="0.1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30" customHeight="1" x14ac:dyDescent="0.1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30" customHeight="1" x14ac:dyDescent="0.1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30" customHeight="1" x14ac:dyDescent="0.1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30" customHeight="1" x14ac:dyDescent="0.1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30" customHeight="1" x14ac:dyDescent="0.1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30" customHeight="1" x14ac:dyDescent="0.1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30" customHeight="1" x14ac:dyDescent="0.1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30" customHeight="1" x14ac:dyDescent="0.1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30" customHeight="1" x14ac:dyDescent="0.1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30" customHeight="1" x14ac:dyDescent="0.1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30" customHeight="1" x14ac:dyDescent="0.1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30" customHeight="1" x14ac:dyDescent="0.1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30" customHeight="1" x14ac:dyDescent="0.1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30" customHeight="1" x14ac:dyDescent="0.1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30" customHeight="1" x14ac:dyDescent="0.1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30" customHeight="1" x14ac:dyDescent="0.1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30" customHeight="1" x14ac:dyDescent="0.1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30" customHeight="1" x14ac:dyDescent="0.1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30" customHeight="1" x14ac:dyDescent="0.1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30" customHeight="1" x14ac:dyDescent="0.1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30" customHeight="1" x14ac:dyDescent="0.1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30" customHeight="1" x14ac:dyDescent="0.1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30" customHeight="1" x14ac:dyDescent="0.1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30" customHeight="1" x14ac:dyDescent="0.1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30" customHeight="1" x14ac:dyDescent="0.1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30" customHeight="1" x14ac:dyDescent="0.1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30" customHeight="1" x14ac:dyDescent="0.1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30" customHeight="1" x14ac:dyDescent="0.1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30" customHeight="1" x14ac:dyDescent="0.1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30" customHeight="1" x14ac:dyDescent="0.1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30" customHeight="1" x14ac:dyDescent="0.1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30" customHeight="1" x14ac:dyDescent="0.1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30" customHeight="1" x14ac:dyDescent="0.1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30" customHeight="1" x14ac:dyDescent="0.1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30" customHeight="1" x14ac:dyDescent="0.1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30" customHeight="1" x14ac:dyDescent="0.1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30" customHeight="1" x14ac:dyDescent="0.1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30" customHeight="1" x14ac:dyDescent="0.1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30" customHeight="1" x14ac:dyDescent="0.1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30" customHeight="1" x14ac:dyDescent="0.1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30" customHeight="1" x14ac:dyDescent="0.1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30" customHeight="1" x14ac:dyDescent="0.1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30" customHeight="1" x14ac:dyDescent="0.1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30" customHeight="1" x14ac:dyDescent="0.1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30" customHeight="1" x14ac:dyDescent="0.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30" customHeight="1" x14ac:dyDescent="0.1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30" customHeight="1" x14ac:dyDescent="0.1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30" customHeight="1" x14ac:dyDescent="0.1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30" customHeight="1" x14ac:dyDescent="0.1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30" customHeight="1" x14ac:dyDescent="0.1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30" customHeight="1" x14ac:dyDescent="0.1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30" customHeight="1" x14ac:dyDescent="0.1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30" customHeight="1" x14ac:dyDescent="0.1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30" customHeight="1" x14ac:dyDescent="0.1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30" customHeight="1" x14ac:dyDescent="0.1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30" customHeight="1" x14ac:dyDescent="0.1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30" customHeight="1" x14ac:dyDescent="0.1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30" customHeight="1" x14ac:dyDescent="0.1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30" customHeight="1" x14ac:dyDescent="0.1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30" customHeight="1" x14ac:dyDescent="0.1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30" customHeight="1" x14ac:dyDescent="0.1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30" customHeight="1" x14ac:dyDescent="0.1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30" customHeight="1" x14ac:dyDescent="0.1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30" customHeight="1" x14ac:dyDescent="0.1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30" customHeight="1" x14ac:dyDescent="0.1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30" customHeight="1" x14ac:dyDescent="0.1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30" customHeight="1" x14ac:dyDescent="0.1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30" customHeight="1" x14ac:dyDescent="0.1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30" customHeight="1" x14ac:dyDescent="0.1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30" customHeight="1" x14ac:dyDescent="0.1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30" customHeight="1" x14ac:dyDescent="0.1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30" customHeight="1" x14ac:dyDescent="0.1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30" customHeight="1" x14ac:dyDescent="0.1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30" customHeight="1" x14ac:dyDescent="0.1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30" customHeight="1" x14ac:dyDescent="0.1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30" customHeight="1" x14ac:dyDescent="0.1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30" customHeight="1" x14ac:dyDescent="0.1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30" customHeight="1" x14ac:dyDescent="0.1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30" customHeight="1" x14ac:dyDescent="0.1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30" customHeight="1" x14ac:dyDescent="0.1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30" customHeight="1" x14ac:dyDescent="0.1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30" customHeight="1" x14ac:dyDescent="0.1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30" customHeight="1" x14ac:dyDescent="0.1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30" customHeight="1" x14ac:dyDescent="0.1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30" customHeight="1" x14ac:dyDescent="0.1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30" customHeight="1" x14ac:dyDescent="0.1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30" customHeight="1" x14ac:dyDescent="0.1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30" customHeight="1" x14ac:dyDescent="0.1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30" customHeight="1" x14ac:dyDescent="0.1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30" customHeight="1" x14ac:dyDescent="0.1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30" customHeight="1" x14ac:dyDescent="0.1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30" customHeight="1" x14ac:dyDescent="0.1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30" customHeight="1" x14ac:dyDescent="0.1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30" customHeight="1" x14ac:dyDescent="0.1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30" customHeight="1" x14ac:dyDescent="0.1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30" customHeight="1" x14ac:dyDescent="0.1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30" customHeight="1" x14ac:dyDescent="0.1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30" customHeight="1" x14ac:dyDescent="0.1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30" customHeight="1" x14ac:dyDescent="0.1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30" customHeight="1" x14ac:dyDescent="0.1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30" customHeight="1" x14ac:dyDescent="0.1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30" customHeight="1" x14ac:dyDescent="0.1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30" customHeight="1" x14ac:dyDescent="0.1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30" customHeight="1" x14ac:dyDescent="0.1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30" customHeight="1" x14ac:dyDescent="0.1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30" customHeight="1" x14ac:dyDescent="0.1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30" customHeight="1" x14ac:dyDescent="0.1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30" customHeight="1" x14ac:dyDescent="0.1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30" customHeight="1" x14ac:dyDescent="0.1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30" customHeight="1" x14ac:dyDescent="0.1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30" customHeight="1" x14ac:dyDescent="0.1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30" customHeight="1" x14ac:dyDescent="0.1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30" customHeight="1" x14ac:dyDescent="0.1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30" customHeight="1" x14ac:dyDescent="0.1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30" customHeight="1" x14ac:dyDescent="0.1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30" customHeight="1" x14ac:dyDescent="0.1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30" customHeight="1" x14ac:dyDescent="0.1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30" customHeight="1" x14ac:dyDescent="0.1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30" customHeight="1" x14ac:dyDescent="0.1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30" customHeight="1" x14ac:dyDescent="0.1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30" customHeight="1" x14ac:dyDescent="0.1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30" customHeight="1" x14ac:dyDescent="0.1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30" customHeight="1" x14ac:dyDescent="0.1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30" customHeight="1" x14ac:dyDescent="0.1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30" customHeight="1" x14ac:dyDescent="0.1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30" customHeight="1" x14ac:dyDescent="0.1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30" customHeight="1" x14ac:dyDescent="0.1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30" customHeight="1" x14ac:dyDescent="0.1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30" customHeight="1" x14ac:dyDescent="0.1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30" customHeight="1" x14ac:dyDescent="0.1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30" customHeight="1" x14ac:dyDescent="0.1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30" customHeight="1" x14ac:dyDescent="0.1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30" customHeight="1" x14ac:dyDescent="0.1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30" customHeight="1" x14ac:dyDescent="0.1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30" customHeight="1" x14ac:dyDescent="0.1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30" customHeight="1" x14ac:dyDescent="0.1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30" customHeight="1" x14ac:dyDescent="0.1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30" customHeight="1" x14ac:dyDescent="0.1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30" customHeight="1" x14ac:dyDescent="0.1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30" customHeight="1" x14ac:dyDescent="0.1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30" customHeight="1" x14ac:dyDescent="0.1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30" customHeight="1" x14ac:dyDescent="0.1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30" customHeight="1" x14ac:dyDescent="0.1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30" customHeight="1" x14ac:dyDescent="0.1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30" customHeight="1" x14ac:dyDescent="0.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30" customHeight="1" x14ac:dyDescent="0.1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30" customHeight="1" x14ac:dyDescent="0.1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30" customHeight="1" x14ac:dyDescent="0.1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30" customHeight="1" x14ac:dyDescent="0.1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30" customHeight="1" x14ac:dyDescent="0.1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30" customHeight="1" x14ac:dyDescent="0.1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30" customHeight="1" x14ac:dyDescent="0.1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30" customHeight="1" x14ac:dyDescent="0.1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30" customHeight="1" x14ac:dyDescent="0.1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30" customHeight="1" x14ac:dyDescent="0.1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30" customHeight="1" x14ac:dyDescent="0.1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30" customHeight="1" x14ac:dyDescent="0.1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30" customHeight="1" x14ac:dyDescent="0.1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30" customHeight="1" x14ac:dyDescent="0.1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30" customHeight="1" x14ac:dyDescent="0.1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30" customHeight="1" x14ac:dyDescent="0.1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30" customHeight="1" x14ac:dyDescent="0.1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30" customHeight="1" x14ac:dyDescent="0.1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30" customHeight="1" x14ac:dyDescent="0.1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30" customHeight="1" x14ac:dyDescent="0.1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30" customHeight="1" x14ac:dyDescent="0.1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30" customHeight="1" x14ac:dyDescent="0.1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30" customHeight="1" x14ac:dyDescent="0.1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30" customHeight="1" x14ac:dyDescent="0.1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30" customHeight="1" x14ac:dyDescent="0.1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30" customHeight="1" x14ac:dyDescent="0.1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30" customHeight="1" x14ac:dyDescent="0.1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30" customHeight="1" x14ac:dyDescent="0.1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30" customHeight="1" x14ac:dyDescent="0.1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30" customHeight="1" x14ac:dyDescent="0.1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30" customHeight="1" x14ac:dyDescent="0.1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30" customHeight="1" x14ac:dyDescent="0.1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30" customHeight="1" x14ac:dyDescent="0.1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30" customHeight="1" x14ac:dyDescent="0.1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30" customHeight="1" x14ac:dyDescent="0.1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30" customHeight="1" x14ac:dyDescent="0.1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30" customHeight="1" x14ac:dyDescent="0.1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30" customHeight="1" x14ac:dyDescent="0.1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30" customHeight="1" x14ac:dyDescent="0.1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30" customHeight="1" x14ac:dyDescent="0.1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30" customHeight="1" x14ac:dyDescent="0.1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30" customHeight="1" x14ac:dyDescent="0.1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30" customHeight="1" x14ac:dyDescent="0.1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30" customHeight="1" x14ac:dyDescent="0.1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30" customHeight="1" x14ac:dyDescent="0.1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30" customHeight="1" x14ac:dyDescent="0.1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30" customHeight="1" x14ac:dyDescent="0.1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30" customHeight="1" x14ac:dyDescent="0.1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30" customHeight="1" x14ac:dyDescent="0.1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30" customHeight="1" x14ac:dyDescent="0.1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30" customHeight="1" x14ac:dyDescent="0.1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30" customHeight="1" x14ac:dyDescent="0.1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30" customHeight="1" x14ac:dyDescent="0.1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30" customHeight="1" x14ac:dyDescent="0.1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30" customHeight="1" x14ac:dyDescent="0.1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30" customHeight="1" x14ac:dyDescent="0.1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30" customHeight="1" x14ac:dyDescent="0.1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30" customHeight="1" x14ac:dyDescent="0.1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30" customHeight="1" x14ac:dyDescent="0.1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30" customHeight="1" x14ac:dyDescent="0.1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30" customHeight="1" x14ac:dyDescent="0.1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30" customHeight="1" x14ac:dyDescent="0.1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30" customHeight="1" x14ac:dyDescent="0.1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30" customHeight="1" x14ac:dyDescent="0.1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30" customHeight="1" x14ac:dyDescent="0.1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30" customHeight="1" x14ac:dyDescent="0.1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30" customHeight="1" x14ac:dyDescent="0.1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30" customHeight="1" x14ac:dyDescent="0.1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30" customHeight="1" x14ac:dyDescent="0.1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30" customHeight="1" x14ac:dyDescent="0.1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30" customHeight="1" x14ac:dyDescent="0.1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30" customHeight="1" x14ac:dyDescent="0.1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30" customHeight="1" x14ac:dyDescent="0.1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30" customHeight="1" x14ac:dyDescent="0.1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30" customHeight="1" x14ac:dyDescent="0.1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30" customHeight="1" x14ac:dyDescent="0.1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30" customHeight="1" x14ac:dyDescent="0.1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30" customHeight="1" x14ac:dyDescent="0.1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30" customHeight="1" x14ac:dyDescent="0.1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30" customHeight="1" x14ac:dyDescent="0.1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30" customHeight="1" x14ac:dyDescent="0.1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30" customHeight="1" x14ac:dyDescent="0.1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30" customHeight="1" x14ac:dyDescent="0.1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30" customHeight="1" x14ac:dyDescent="0.1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30" customHeight="1" x14ac:dyDescent="0.1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30" customHeight="1" x14ac:dyDescent="0.1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30" customHeight="1" x14ac:dyDescent="0.1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30" customHeight="1" x14ac:dyDescent="0.1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30" customHeight="1" x14ac:dyDescent="0.1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30" customHeight="1" x14ac:dyDescent="0.1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30" customHeight="1" x14ac:dyDescent="0.1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30" customHeight="1" x14ac:dyDescent="0.1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30" customHeight="1" x14ac:dyDescent="0.1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30" customHeight="1" x14ac:dyDescent="0.1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30" customHeight="1" x14ac:dyDescent="0.1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30" customHeight="1" x14ac:dyDescent="0.1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30" customHeight="1" x14ac:dyDescent="0.1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30" customHeight="1" x14ac:dyDescent="0.1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30" customHeight="1" x14ac:dyDescent="0.1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30" customHeight="1" x14ac:dyDescent="0.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30" customHeight="1" x14ac:dyDescent="0.1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30" customHeight="1" x14ac:dyDescent="0.1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30" customHeight="1" x14ac:dyDescent="0.1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30" customHeight="1" x14ac:dyDescent="0.1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30" customHeight="1" x14ac:dyDescent="0.1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30" customHeight="1" x14ac:dyDescent="0.1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30" customHeight="1" x14ac:dyDescent="0.1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30" customHeight="1" x14ac:dyDescent="0.1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30" customHeight="1" x14ac:dyDescent="0.1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30" customHeight="1" x14ac:dyDescent="0.1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30" customHeight="1" x14ac:dyDescent="0.1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30" customHeight="1" x14ac:dyDescent="0.1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30" customHeight="1" x14ac:dyDescent="0.1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30" customHeight="1" x14ac:dyDescent="0.1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30" customHeight="1" x14ac:dyDescent="0.1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30" customHeight="1" x14ac:dyDescent="0.1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30" customHeight="1" x14ac:dyDescent="0.1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30" customHeight="1" x14ac:dyDescent="0.1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30" customHeight="1" x14ac:dyDescent="0.1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30" customHeight="1" x14ac:dyDescent="0.1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30" customHeight="1" x14ac:dyDescent="0.1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30" customHeight="1" x14ac:dyDescent="0.1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30" customHeight="1" x14ac:dyDescent="0.1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30" customHeight="1" x14ac:dyDescent="0.1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30" customHeight="1" x14ac:dyDescent="0.1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30" customHeight="1" x14ac:dyDescent="0.1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30" customHeight="1" x14ac:dyDescent="0.1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30" customHeight="1" x14ac:dyDescent="0.1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30" customHeight="1" x14ac:dyDescent="0.1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30" customHeight="1" x14ac:dyDescent="0.1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30" customHeight="1" x14ac:dyDescent="0.1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30" customHeight="1" x14ac:dyDescent="0.1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30" customHeight="1" x14ac:dyDescent="0.1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30" customHeight="1" x14ac:dyDescent="0.1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30" customHeight="1" x14ac:dyDescent="0.1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30" customHeight="1" x14ac:dyDescent="0.1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30" customHeight="1" x14ac:dyDescent="0.1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30" customHeight="1" x14ac:dyDescent="0.1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30" customHeight="1" x14ac:dyDescent="0.1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30" customHeight="1" x14ac:dyDescent="0.1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30" customHeight="1" x14ac:dyDescent="0.1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30" customHeight="1" x14ac:dyDescent="0.1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30" customHeight="1" x14ac:dyDescent="0.1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30" customHeight="1" x14ac:dyDescent="0.1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30" customHeight="1" x14ac:dyDescent="0.1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30" customHeight="1" x14ac:dyDescent="0.1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30" customHeight="1" x14ac:dyDescent="0.1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30" customHeight="1" x14ac:dyDescent="0.1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30" customHeight="1" x14ac:dyDescent="0.1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30" customHeight="1" x14ac:dyDescent="0.1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30" customHeight="1" x14ac:dyDescent="0.1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30" customHeight="1" x14ac:dyDescent="0.1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30" customHeight="1" x14ac:dyDescent="0.1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30" customHeight="1" x14ac:dyDescent="0.1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30" customHeight="1" x14ac:dyDescent="0.1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30" customHeight="1" x14ac:dyDescent="0.1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30" customHeight="1" x14ac:dyDescent="0.1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30" customHeight="1" x14ac:dyDescent="0.1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30" customHeight="1" x14ac:dyDescent="0.1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30" customHeight="1" x14ac:dyDescent="0.1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30" customHeight="1" x14ac:dyDescent="0.1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30" customHeight="1" x14ac:dyDescent="0.1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30" customHeight="1" x14ac:dyDescent="0.1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30" customHeight="1" x14ac:dyDescent="0.1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30" customHeight="1" x14ac:dyDescent="0.1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30" customHeight="1" x14ac:dyDescent="0.1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30" customHeight="1" x14ac:dyDescent="0.1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30" customHeight="1" x14ac:dyDescent="0.1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30" customHeight="1" x14ac:dyDescent="0.1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30" customHeight="1" x14ac:dyDescent="0.1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30" customHeight="1" x14ac:dyDescent="0.1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30" customHeight="1" x14ac:dyDescent="0.1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30" customHeight="1" x14ac:dyDescent="0.1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30" customHeight="1" x14ac:dyDescent="0.1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30" customHeight="1" x14ac:dyDescent="0.1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30" customHeight="1" x14ac:dyDescent="0.1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30" customHeight="1" x14ac:dyDescent="0.1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30" customHeight="1" x14ac:dyDescent="0.1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30" customHeight="1" x14ac:dyDescent="0.1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30" customHeight="1" x14ac:dyDescent="0.1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30" customHeight="1" x14ac:dyDescent="0.1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30" customHeight="1" x14ac:dyDescent="0.1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30" customHeight="1" x14ac:dyDescent="0.1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30" customHeight="1" x14ac:dyDescent="0.1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30" customHeight="1" x14ac:dyDescent="0.1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30" customHeight="1" x14ac:dyDescent="0.1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30" customHeight="1" x14ac:dyDescent="0.1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30" customHeight="1" x14ac:dyDescent="0.1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30" customHeight="1" x14ac:dyDescent="0.1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30" customHeight="1" x14ac:dyDescent="0.1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30" customHeight="1" x14ac:dyDescent="0.1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30" customHeight="1" x14ac:dyDescent="0.1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30" customHeight="1" x14ac:dyDescent="0.1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30" customHeight="1" x14ac:dyDescent="0.1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30" customHeight="1" x14ac:dyDescent="0.1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30" customHeight="1" x14ac:dyDescent="0.1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30" customHeight="1" x14ac:dyDescent="0.1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30" customHeight="1" x14ac:dyDescent="0.1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30" customHeight="1" x14ac:dyDescent="0.1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30" customHeight="1" x14ac:dyDescent="0.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30" customHeight="1" x14ac:dyDescent="0.1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30" customHeight="1" x14ac:dyDescent="0.1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30" customHeight="1" x14ac:dyDescent="0.1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30" customHeight="1" x14ac:dyDescent="0.1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30" customHeight="1" x14ac:dyDescent="0.1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30" customHeight="1" x14ac:dyDescent="0.1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30" customHeight="1" x14ac:dyDescent="0.1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30" customHeight="1" x14ac:dyDescent="0.1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30" customHeight="1" x14ac:dyDescent="0.1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30" customHeight="1" x14ac:dyDescent="0.1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30" customHeight="1" x14ac:dyDescent="0.1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30" customHeight="1" x14ac:dyDescent="0.1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30" customHeight="1" x14ac:dyDescent="0.1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30" customHeight="1" x14ac:dyDescent="0.1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30" customHeight="1" x14ac:dyDescent="0.1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30" customHeight="1" x14ac:dyDescent="0.1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30" customHeight="1" x14ac:dyDescent="0.1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30" customHeight="1" x14ac:dyDescent="0.1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30" customHeight="1" x14ac:dyDescent="0.1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30" customHeight="1" x14ac:dyDescent="0.1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30" customHeight="1" x14ac:dyDescent="0.1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30" customHeight="1" x14ac:dyDescent="0.1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30" customHeight="1" x14ac:dyDescent="0.1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30" customHeight="1" x14ac:dyDescent="0.1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30" customHeight="1" x14ac:dyDescent="0.1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30" customHeight="1" x14ac:dyDescent="0.1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30" customHeight="1" x14ac:dyDescent="0.1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30" customHeight="1" x14ac:dyDescent="0.1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30" customHeight="1" x14ac:dyDescent="0.1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30" customHeight="1" x14ac:dyDescent="0.1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30" customHeight="1" x14ac:dyDescent="0.1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30" customHeight="1" x14ac:dyDescent="0.1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30" customHeight="1" x14ac:dyDescent="0.1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30" customHeight="1" x14ac:dyDescent="0.1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30" customHeight="1" x14ac:dyDescent="0.1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30" customHeight="1" x14ac:dyDescent="0.1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30" customHeight="1" x14ac:dyDescent="0.1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30" customHeight="1" x14ac:dyDescent="0.1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30" customHeight="1" x14ac:dyDescent="0.1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30" customHeight="1" x14ac:dyDescent="0.1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30" customHeight="1" x14ac:dyDescent="0.1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30" customHeight="1" x14ac:dyDescent="0.1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30" customHeight="1" x14ac:dyDescent="0.1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30" customHeight="1" x14ac:dyDescent="0.1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30" customHeight="1" x14ac:dyDescent="0.1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30" customHeight="1" x14ac:dyDescent="0.1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30" customHeight="1" x14ac:dyDescent="0.1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30" customHeight="1" x14ac:dyDescent="0.1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30" customHeight="1" x14ac:dyDescent="0.1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30" customHeight="1" x14ac:dyDescent="0.1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30" customHeight="1" x14ac:dyDescent="0.1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30" customHeight="1" x14ac:dyDescent="0.1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30" customHeight="1" x14ac:dyDescent="0.1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30" customHeight="1" x14ac:dyDescent="0.1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30" customHeight="1" x14ac:dyDescent="0.1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30" customHeight="1" x14ac:dyDescent="0.1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30" customHeight="1" x14ac:dyDescent="0.1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30" customHeight="1" x14ac:dyDescent="0.1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30" customHeight="1" x14ac:dyDescent="0.1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30" customHeight="1" x14ac:dyDescent="0.1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30" customHeight="1" x14ac:dyDescent="0.1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30" customHeight="1" x14ac:dyDescent="0.1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30" customHeight="1" x14ac:dyDescent="0.1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30" customHeight="1" x14ac:dyDescent="0.1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30" customHeight="1" x14ac:dyDescent="0.1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30" customHeight="1" x14ac:dyDescent="0.1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30" customHeight="1" x14ac:dyDescent="0.1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30" customHeight="1" x14ac:dyDescent="0.1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30" customHeight="1" x14ac:dyDescent="0.1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30" customHeight="1" x14ac:dyDescent="0.1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30" customHeight="1" x14ac:dyDescent="0.1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30" customHeight="1" x14ac:dyDescent="0.1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30" customHeight="1" x14ac:dyDescent="0.1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30" customHeight="1" x14ac:dyDescent="0.1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30" customHeight="1" x14ac:dyDescent="0.1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30" customHeight="1" x14ac:dyDescent="0.1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30" customHeight="1" x14ac:dyDescent="0.1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30" customHeight="1" x14ac:dyDescent="0.1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30" customHeight="1" x14ac:dyDescent="0.1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30" customHeight="1" x14ac:dyDescent="0.1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30" customHeight="1" x14ac:dyDescent="0.1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30" customHeight="1" x14ac:dyDescent="0.1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30" customHeight="1" x14ac:dyDescent="0.1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30" customHeight="1" x14ac:dyDescent="0.1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30" customHeight="1" x14ac:dyDescent="0.1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30" customHeight="1" x14ac:dyDescent="0.1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30" customHeight="1" x14ac:dyDescent="0.1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30" customHeight="1" x14ac:dyDescent="0.1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30" customHeight="1" x14ac:dyDescent="0.1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30" customHeight="1" x14ac:dyDescent="0.1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30" customHeight="1" x14ac:dyDescent="0.1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30" customHeight="1" x14ac:dyDescent="0.1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30" customHeight="1" x14ac:dyDescent="0.1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30" customHeight="1" x14ac:dyDescent="0.1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30" customHeight="1" x14ac:dyDescent="0.1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30" customHeight="1" x14ac:dyDescent="0.1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30" customHeight="1" x14ac:dyDescent="0.1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30" customHeight="1" x14ac:dyDescent="0.1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30" customHeight="1" x14ac:dyDescent="0.1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30" customHeight="1" x14ac:dyDescent="0.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30" customHeight="1" x14ac:dyDescent="0.1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30" customHeight="1" x14ac:dyDescent="0.1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30" customHeight="1" x14ac:dyDescent="0.1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30" customHeight="1" x14ac:dyDescent="0.1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30" customHeight="1" x14ac:dyDescent="0.1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30" customHeight="1" x14ac:dyDescent="0.1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30" customHeight="1" x14ac:dyDescent="0.1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30" customHeight="1" x14ac:dyDescent="0.1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30" customHeight="1" x14ac:dyDescent="0.1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30" customHeight="1" x14ac:dyDescent="0.1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30" customHeight="1" x14ac:dyDescent="0.1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30" customHeight="1" x14ac:dyDescent="0.1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30" customHeight="1" x14ac:dyDescent="0.1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30" customHeight="1" x14ac:dyDescent="0.1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30" customHeight="1" x14ac:dyDescent="0.1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30" customHeight="1" x14ac:dyDescent="0.1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30" customHeight="1" x14ac:dyDescent="0.1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30" customHeight="1" x14ac:dyDescent="0.1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30" customHeight="1" x14ac:dyDescent="0.1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30" customHeight="1" x14ac:dyDescent="0.1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30" customHeight="1" x14ac:dyDescent="0.1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30" customHeight="1" x14ac:dyDescent="0.1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30" customHeight="1" x14ac:dyDescent="0.1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30" customHeight="1" x14ac:dyDescent="0.1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30" customHeight="1" x14ac:dyDescent="0.1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30" customHeight="1" x14ac:dyDescent="0.1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30" customHeight="1" x14ac:dyDescent="0.1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30" customHeight="1" x14ac:dyDescent="0.1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30" customHeight="1" x14ac:dyDescent="0.1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30" customHeight="1" x14ac:dyDescent="0.1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30" customHeight="1" x14ac:dyDescent="0.1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30" customHeight="1" x14ac:dyDescent="0.1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30" customHeight="1" x14ac:dyDescent="0.1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30" customHeight="1" x14ac:dyDescent="0.1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30" customHeight="1" x14ac:dyDescent="0.1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30" customHeight="1" x14ac:dyDescent="0.1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30" customHeight="1" x14ac:dyDescent="0.1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30" customHeight="1" x14ac:dyDescent="0.1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30" customHeight="1" x14ac:dyDescent="0.1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30" customHeight="1" x14ac:dyDescent="0.1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30" customHeight="1" x14ac:dyDescent="0.1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30" customHeight="1" x14ac:dyDescent="0.1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30" customHeight="1" x14ac:dyDescent="0.1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30" customHeight="1" x14ac:dyDescent="0.1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30" customHeight="1" x14ac:dyDescent="0.1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30" customHeight="1" x14ac:dyDescent="0.1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30" customHeight="1" x14ac:dyDescent="0.1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30" customHeight="1" x14ac:dyDescent="0.1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30" customHeight="1" x14ac:dyDescent="0.1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30" customHeight="1" x14ac:dyDescent="0.1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30" customHeight="1" x14ac:dyDescent="0.1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30" customHeight="1" x14ac:dyDescent="0.1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30" customHeight="1" x14ac:dyDescent="0.1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30" customHeight="1" x14ac:dyDescent="0.1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30" customHeight="1" x14ac:dyDescent="0.1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30" customHeight="1" x14ac:dyDescent="0.1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30" customHeight="1" x14ac:dyDescent="0.1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30" customHeight="1" x14ac:dyDescent="0.1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30" customHeight="1" x14ac:dyDescent="0.1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30" customHeight="1" x14ac:dyDescent="0.1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30" customHeight="1" x14ac:dyDescent="0.1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30" customHeight="1" x14ac:dyDescent="0.1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30" customHeight="1" x14ac:dyDescent="0.1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30" customHeight="1" x14ac:dyDescent="0.1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30" customHeight="1" x14ac:dyDescent="0.1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30" customHeight="1" x14ac:dyDescent="0.1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30" customHeight="1" x14ac:dyDescent="0.1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30" customHeight="1" x14ac:dyDescent="0.1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30" customHeight="1" x14ac:dyDescent="0.1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30" customHeight="1" x14ac:dyDescent="0.1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30" customHeight="1" x14ac:dyDescent="0.1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30" customHeight="1" x14ac:dyDescent="0.1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30" customHeight="1" x14ac:dyDescent="0.1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30" customHeight="1" x14ac:dyDescent="0.1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30" customHeight="1" x14ac:dyDescent="0.1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30" customHeight="1" x14ac:dyDescent="0.1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30" customHeight="1" x14ac:dyDescent="0.1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30" customHeight="1" x14ac:dyDescent="0.1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30" customHeight="1" x14ac:dyDescent="0.1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30" customHeight="1" x14ac:dyDescent="0.1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30" customHeight="1" x14ac:dyDescent="0.1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30" customHeight="1" x14ac:dyDescent="0.1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30" customHeight="1" x14ac:dyDescent="0.1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30" customHeight="1" x14ac:dyDescent="0.1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30" customHeight="1" x14ac:dyDescent="0.1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30" customHeight="1" x14ac:dyDescent="0.1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30" customHeight="1" x14ac:dyDescent="0.1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30" customHeight="1" x14ac:dyDescent="0.1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30" customHeight="1" x14ac:dyDescent="0.1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30" customHeight="1" x14ac:dyDescent="0.1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30" customHeight="1" x14ac:dyDescent="0.1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30" customHeight="1" x14ac:dyDescent="0.1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30" customHeight="1" x14ac:dyDescent="0.1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30" customHeight="1" x14ac:dyDescent="0.1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30" customHeight="1" x14ac:dyDescent="0.1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30" customHeight="1" x14ac:dyDescent="0.1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30" customHeight="1" x14ac:dyDescent="0.1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30" customHeight="1" x14ac:dyDescent="0.1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30" customHeight="1" x14ac:dyDescent="0.1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30" customHeight="1" x14ac:dyDescent="0.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30" customHeight="1" x14ac:dyDescent="0.1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30" customHeight="1" x14ac:dyDescent="0.1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30" customHeight="1" x14ac:dyDescent="0.1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30" customHeight="1" x14ac:dyDescent="0.1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30" customHeight="1" x14ac:dyDescent="0.1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30" customHeight="1" x14ac:dyDescent="0.1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30" customHeight="1" x14ac:dyDescent="0.1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30" customHeight="1" x14ac:dyDescent="0.1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30" customHeight="1" x14ac:dyDescent="0.1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30" customHeight="1" x14ac:dyDescent="0.1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30" customHeight="1" x14ac:dyDescent="0.1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30" customHeight="1" x14ac:dyDescent="0.1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30" customHeight="1" x14ac:dyDescent="0.1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30" customHeight="1" x14ac:dyDescent="0.1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30" customHeight="1" x14ac:dyDescent="0.1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30" customHeight="1" x14ac:dyDescent="0.1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30" customHeight="1" x14ac:dyDescent="0.1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30" customHeight="1" x14ac:dyDescent="0.1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30" customHeight="1" x14ac:dyDescent="0.1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30" customHeight="1" x14ac:dyDescent="0.1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30" customHeight="1" x14ac:dyDescent="0.1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30" customHeight="1" x14ac:dyDescent="0.1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30" customHeight="1" x14ac:dyDescent="0.1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30" customHeight="1" x14ac:dyDescent="0.1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30" customHeight="1" x14ac:dyDescent="0.1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30" customHeight="1" x14ac:dyDescent="0.1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30" customHeight="1" x14ac:dyDescent="0.1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30" customHeight="1" x14ac:dyDescent="0.1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30" customHeight="1" x14ac:dyDescent="0.1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30" customHeight="1" x14ac:dyDescent="0.1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30" customHeight="1" x14ac:dyDescent="0.1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30" customHeight="1" x14ac:dyDescent="0.1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30" customHeight="1" x14ac:dyDescent="0.1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30" customHeight="1" x14ac:dyDescent="0.1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30" customHeight="1" x14ac:dyDescent="0.1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30" customHeight="1" x14ac:dyDescent="0.1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30" customHeight="1" x14ac:dyDescent="0.1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30" customHeight="1" x14ac:dyDescent="0.1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30" customHeight="1" x14ac:dyDescent="0.1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30" customHeight="1" x14ac:dyDescent="0.1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30" customHeight="1" x14ac:dyDescent="0.1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30" customHeight="1" x14ac:dyDescent="0.1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30" customHeight="1" x14ac:dyDescent="0.1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30" customHeight="1" x14ac:dyDescent="0.1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30" customHeight="1" x14ac:dyDescent="0.1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30" customHeight="1" x14ac:dyDescent="0.1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30" customHeight="1" x14ac:dyDescent="0.1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30" customHeight="1" x14ac:dyDescent="0.1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30" customHeight="1" x14ac:dyDescent="0.1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30" customHeight="1" x14ac:dyDescent="0.1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30" customHeight="1" x14ac:dyDescent="0.1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30" customHeight="1" x14ac:dyDescent="0.1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30" customHeight="1" x14ac:dyDescent="0.1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30" customHeight="1" x14ac:dyDescent="0.1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30" customHeight="1" x14ac:dyDescent="0.1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30" customHeight="1" x14ac:dyDescent="0.1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30" customHeight="1" x14ac:dyDescent="0.1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30" customHeight="1" x14ac:dyDescent="0.1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30" customHeight="1" x14ac:dyDescent="0.1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30" customHeight="1" x14ac:dyDescent="0.1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30" customHeight="1" x14ac:dyDescent="0.1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30" customHeight="1" x14ac:dyDescent="0.1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30" customHeight="1" x14ac:dyDescent="0.1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30" customHeight="1" x14ac:dyDescent="0.1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30" customHeight="1" x14ac:dyDescent="0.1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30" customHeight="1" x14ac:dyDescent="0.1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30" customHeight="1" x14ac:dyDescent="0.1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30" customHeight="1" x14ac:dyDescent="0.1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30" customHeight="1" x14ac:dyDescent="0.1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30" customHeight="1" x14ac:dyDescent="0.1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30" customHeight="1" x14ac:dyDescent="0.1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30" customHeight="1" x14ac:dyDescent="0.1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30" customHeight="1" x14ac:dyDescent="0.1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30" customHeight="1" x14ac:dyDescent="0.1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30" customHeight="1" x14ac:dyDescent="0.1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30" customHeight="1" x14ac:dyDescent="0.1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30" customHeight="1" x14ac:dyDescent="0.1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30" customHeight="1" x14ac:dyDescent="0.1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30" customHeight="1" x14ac:dyDescent="0.1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30" customHeight="1" x14ac:dyDescent="0.1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30" customHeight="1" x14ac:dyDescent="0.1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30" customHeight="1" x14ac:dyDescent="0.1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30" customHeight="1" x14ac:dyDescent="0.1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30" customHeight="1" x14ac:dyDescent="0.1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30" customHeight="1" x14ac:dyDescent="0.1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30" customHeight="1" x14ac:dyDescent="0.1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30" customHeight="1" x14ac:dyDescent="0.1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30" customHeight="1" x14ac:dyDescent="0.1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30" customHeight="1" x14ac:dyDescent="0.1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</sheetData>
  <mergeCells count="3">
    <mergeCell ref="B2:H2"/>
    <mergeCell ref="B4:B5"/>
    <mergeCell ref="C5:F5"/>
  </mergeCells>
  <hyperlinks>
    <hyperlink ref="C5" r:id="rId1" xr:uid="{00000000-0004-0000-0000-000000000000}"/>
  </hyperlinks>
  <printOptions horizontalCentered="1"/>
  <pageMargins left="0.25" right="0.25" top="0.75" bottom="0.75" header="0" footer="0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  <pageSetUpPr fitToPage="1"/>
  </sheetPr>
  <dimension ref="A1:Z993"/>
  <sheetViews>
    <sheetView showGridLines="0" topLeftCell="A25" workbookViewId="0"/>
  </sheetViews>
  <sheetFormatPr baseColWidth="10" defaultColWidth="12.6640625" defaultRowHeight="15" customHeight="1" x14ac:dyDescent="0.15"/>
  <cols>
    <col min="1" max="1" width="2.83203125" customWidth="1"/>
    <col min="2" max="2" width="30.83203125" customWidth="1"/>
    <col min="3" max="3" width="15.83203125" customWidth="1"/>
    <col min="4" max="4" width="20.83203125" customWidth="1"/>
    <col min="5" max="5" width="15.83203125" customWidth="1"/>
    <col min="6" max="7" width="26.6640625" customWidth="1"/>
    <col min="8" max="8" width="2.83203125" customWidth="1"/>
    <col min="9" max="26" width="9.1640625" customWidth="1"/>
  </cols>
  <sheetData>
    <row r="1" spans="1:26" ht="19.5" customHeight="1" x14ac:dyDescent="0.15">
      <c r="A1" s="46"/>
      <c r="B1" s="2"/>
      <c r="C1" s="2"/>
      <c r="D1" s="2"/>
      <c r="E1" s="2"/>
      <c r="F1" s="2"/>
      <c r="G1" s="2"/>
      <c r="H1" s="2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79.5" customHeight="1" x14ac:dyDescent="0.6">
      <c r="A2" s="46"/>
      <c r="B2" s="111" t="str">
        <f>Expenses!B2</f>
        <v>Theatre Production AY2526</v>
      </c>
      <c r="C2" s="104"/>
      <c r="D2" s="104"/>
      <c r="E2" s="105"/>
      <c r="F2" s="47"/>
      <c r="G2" s="48" t="s">
        <v>48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" customHeight="1" x14ac:dyDescent="0.6">
      <c r="A3" s="46"/>
      <c r="B3" s="49"/>
      <c r="C3" s="49"/>
      <c r="D3" s="17"/>
      <c r="E3" s="17"/>
      <c r="F3" s="47"/>
      <c r="G3" s="5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" customHeight="1" x14ac:dyDescent="0.15">
      <c r="A4" s="51"/>
      <c r="B4" s="112" t="s">
        <v>49</v>
      </c>
      <c r="C4" s="52" t="str">
        <f>Expenses!C4</f>
        <v>As of 01/06/2026</v>
      </c>
      <c r="D4" s="53"/>
      <c r="E4" s="53"/>
      <c r="F4" s="54"/>
      <c r="G4" s="54" t="s">
        <v>5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30" customHeight="1" x14ac:dyDescent="0.15">
      <c r="A5" s="51"/>
      <c r="B5" s="113"/>
      <c r="C5" s="114" t="str">
        <f>Expenses!C5</f>
        <v>Order Tracking</v>
      </c>
      <c r="D5" s="115"/>
      <c r="E5" s="55"/>
      <c r="F5" s="56"/>
      <c r="G5" s="57">
        <f>SUM(Income!$G$16,Income!$G$23,Income!$G$34)</f>
        <v>6694.7800000000007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 customHeight="1" x14ac:dyDescent="0.15">
      <c r="A6" s="58"/>
      <c r="B6" s="59"/>
      <c r="C6" s="60"/>
      <c r="D6" s="60"/>
      <c r="E6" s="60"/>
      <c r="F6" s="60"/>
      <c r="G6" s="60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26" ht="30" customHeight="1" x14ac:dyDescent="0.15">
      <c r="A7" s="58"/>
      <c r="B7" s="62" t="s">
        <v>50</v>
      </c>
      <c r="C7" s="63"/>
      <c r="D7" s="63"/>
      <c r="E7" s="63"/>
      <c r="F7" s="63"/>
      <c r="G7" s="63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spans="1:26" ht="30" customHeight="1" x14ac:dyDescent="0.15">
      <c r="A8" s="51"/>
      <c r="B8" s="116" t="s">
        <v>51</v>
      </c>
      <c r="C8" s="117"/>
      <c r="D8" s="117"/>
      <c r="E8" s="115"/>
      <c r="F8" s="64" t="s">
        <v>8</v>
      </c>
      <c r="G8" s="64" t="s">
        <v>48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 customHeight="1" x14ac:dyDescent="0.2">
      <c r="A9" s="46"/>
      <c r="B9" s="118" t="s">
        <v>52</v>
      </c>
      <c r="C9" s="119"/>
      <c r="D9" s="119"/>
      <c r="E9" s="120"/>
      <c r="F9" s="65" t="s">
        <v>53</v>
      </c>
      <c r="G9" s="66">
        <v>8.64</v>
      </c>
      <c r="H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 customHeight="1" x14ac:dyDescent="0.2">
      <c r="A10" s="46"/>
      <c r="B10" s="118" t="s">
        <v>54</v>
      </c>
      <c r="C10" s="119"/>
      <c r="D10" s="119"/>
      <c r="E10" s="120"/>
      <c r="F10" s="65" t="s">
        <v>55</v>
      </c>
      <c r="G10" s="66">
        <v>60.71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customHeight="1" x14ac:dyDescent="0.15">
      <c r="A11" s="46"/>
      <c r="B11" s="121" t="s">
        <v>56</v>
      </c>
      <c r="C11" s="117"/>
      <c r="D11" s="117"/>
      <c r="E11" s="115"/>
      <c r="F11" s="67" t="s">
        <v>57</v>
      </c>
      <c r="G11" s="68">
        <v>5988.1</v>
      </c>
      <c r="H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15">
      <c r="A12" s="46"/>
      <c r="B12" s="121" t="s">
        <v>58</v>
      </c>
      <c r="C12" s="117"/>
      <c r="D12" s="117"/>
      <c r="E12" s="115"/>
      <c r="F12" s="67" t="s">
        <v>59</v>
      </c>
      <c r="G12" s="68">
        <v>637.33000000000004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15">
      <c r="A13" s="46"/>
      <c r="B13" s="121"/>
      <c r="C13" s="117"/>
      <c r="D13" s="117"/>
      <c r="E13" s="115"/>
      <c r="F13" s="67"/>
      <c r="G13" s="6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15">
      <c r="A14" s="46"/>
      <c r="B14" s="121"/>
      <c r="C14" s="117"/>
      <c r="D14" s="117"/>
      <c r="E14" s="115"/>
      <c r="F14" s="67"/>
      <c r="G14" s="6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 x14ac:dyDescent="0.15">
      <c r="A15" s="46"/>
      <c r="B15" s="121"/>
      <c r="C15" s="117"/>
      <c r="D15" s="117"/>
      <c r="E15" s="115"/>
      <c r="F15" s="67"/>
      <c r="G15" s="6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15">
      <c r="A16" s="46"/>
      <c r="B16" s="69" t="s">
        <v>60</v>
      </c>
      <c r="C16" s="69"/>
      <c r="D16" s="54"/>
      <c r="E16" s="54"/>
      <c r="F16" s="54"/>
      <c r="G16" s="70">
        <f>SUBTOTAL(109,Income!$G$9:$G$15)</f>
        <v>6694.7800000000007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 x14ac:dyDescent="0.15">
      <c r="A17" s="58"/>
      <c r="B17" s="59"/>
      <c r="C17" s="60"/>
      <c r="D17" s="60"/>
      <c r="E17" s="60"/>
      <c r="F17" s="60"/>
      <c r="G17" s="60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spans="1:26" ht="30" customHeight="1" x14ac:dyDescent="0.2">
      <c r="A18" s="46"/>
      <c r="B18" s="62" t="s">
        <v>61</v>
      </c>
      <c r="C18" s="71"/>
      <c r="D18" s="72"/>
      <c r="E18" s="72"/>
      <c r="F18" s="72"/>
      <c r="G18" s="7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0" customHeight="1" x14ac:dyDescent="0.15">
      <c r="A19" s="51"/>
      <c r="B19" s="116" t="s">
        <v>51</v>
      </c>
      <c r="C19" s="117"/>
      <c r="D19" s="117"/>
      <c r="E19" s="115"/>
      <c r="F19" s="64" t="s">
        <v>8</v>
      </c>
      <c r="G19" s="64" t="s">
        <v>48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0" customHeight="1" x14ac:dyDescent="0.2">
      <c r="A20" s="46"/>
      <c r="B20" s="118"/>
      <c r="C20" s="119"/>
      <c r="D20" s="119"/>
      <c r="E20" s="120"/>
      <c r="F20" s="65"/>
      <c r="G20" s="6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0" customHeight="1" x14ac:dyDescent="0.2">
      <c r="A21" s="46"/>
      <c r="B21" s="118"/>
      <c r="C21" s="119"/>
      <c r="D21" s="119"/>
      <c r="E21" s="120"/>
      <c r="F21" s="65"/>
      <c r="G21" s="66"/>
      <c r="H21" s="2"/>
      <c r="I21" s="2"/>
      <c r="J21" s="2"/>
      <c r="K21" s="2"/>
      <c r="L21" s="2"/>
      <c r="M21" s="2"/>
      <c r="N21" s="2"/>
      <c r="O21" s="7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0" customHeight="1" x14ac:dyDescent="0.15">
      <c r="A22" s="46"/>
      <c r="B22" s="121"/>
      <c r="C22" s="117"/>
      <c r="D22" s="117"/>
      <c r="E22" s="115"/>
      <c r="F22" s="67"/>
      <c r="G22" s="6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0" customHeight="1" x14ac:dyDescent="0.15">
      <c r="A23" s="46"/>
      <c r="B23" s="74" t="s">
        <v>60</v>
      </c>
      <c r="C23" s="74"/>
      <c r="D23" s="75"/>
      <c r="E23" s="75"/>
      <c r="F23" s="75"/>
      <c r="G23" s="76">
        <f>SUBTOTAL(109,Income!$G$20:$G$22)</f>
        <v>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0" customHeight="1" x14ac:dyDescent="0.15">
      <c r="A24" s="58"/>
      <c r="B24" s="59"/>
      <c r="C24" s="60"/>
      <c r="D24" s="60"/>
      <c r="E24" s="60"/>
      <c r="F24" s="60"/>
      <c r="G24" s="60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spans="1:26" ht="30" customHeight="1" x14ac:dyDescent="0.2">
      <c r="A25" s="51"/>
      <c r="B25" s="62" t="s">
        <v>62</v>
      </c>
      <c r="C25" s="71"/>
      <c r="D25" s="72"/>
      <c r="E25" s="72"/>
      <c r="F25" s="72"/>
      <c r="G25" s="7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0" customHeight="1" x14ac:dyDescent="0.15">
      <c r="A26" s="51"/>
      <c r="B26" s="116" t="s">
        <v>51</v>
      </c>
      <c r="C26" s="117"/>
      <c r="D26" s="117"/>
      <c r="E26" s="115"/>
      <c r="F26" s="64" t="s">
        <v>8</v>
      </c>
      <c r="G26" s="64" t="s">
        <v>48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0" customHeight="1" x14ac:dyDescent="0.2">
      <c r="A27" s="46"/>
      <c r="B27" s="123"/>
      <c r="C27" s="117"/>
      <c r="D27" s="117"/>
      <c r="E27" s="115"/>
      <c r="F27" s="65"/>
      <c r="G27" s="77"/>
      <c r="H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0" customHeight="1" x14ac:dyDescent="0.15">
      <c r="A28" s="46"/>
      <c r="B28" s="121"/>
      <c r="C28" s="117"/>
      <c r="D28" s="117"/>
      <c r="E28" s="115"/>
      <c r="F28" s="67"/>
      <c r="G28" s="6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0" customHeight="1" x14ac:dyDescent="0.15">
      <c r="A29" s="46"/>
      <c r="B29" s="121"/>
      <c r="C29" s="117"/>
      <c r="D29" s="117"/>
      <c r="E29" s="115"/>
      <c r="F29" s="67"/>
      <c r="G29" s="6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0" customHeight="1" x14ac:dyDescent="0.15">
      <c r="A30" s="46"/>
      <c r="B30" s="121"/>
      <c r="C30" s="117"/>
      <c r="D30" s="117"/>
      <c r="E30" s="115"/>
      <c r="F30" s="67"/>
      <c r="G30" s="6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0" customHeight="1" x14ac:dyDescent="0.15">
      <c r="A31" s="46"/>
      <c r="B31" s="121"/>
      <c r="C31" s="117"/>
      <c r="D31" s="117"/>
      <c r="E31" s="115"/>
      <c r="F31" s="67"/>
      <c r="G31" s="68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0" customHeight="1" x14ac:dyDescent="0.15">
      <c r="A32" s="46"/>
      <c r="B32" s="121"/>
      <c r="C32" s="117"/>
      <c r="D32" s="117"/>
      <c r="E32" s="115"/>
      <c r="F32" s="67"/>
      <c r="G32" s="6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0" customHeight="1" x14ac:dyDescent="0.15">
      <c r="A33" s="46"/>
      <c r="B33" s="121"/>
      <c r="C33" s="117"/>
      <c r="D33" s="117"/>
      <c r="E33" s="115"/>
      <c r="F33" s="67"/>
      <c r="G33" s="68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0" customHeight="1" x14ac:dyDescent="0.15">
      <c r="A34" s="46"/>
      <c r="B34" s="122" t="s">
        <v>21</v>
      </c>
      <c r="C34" s="117"/>
      <c r="D34" s="117"/>
      <c r="E34" s="117"/>
      <c r="F34" s="115"/>
      <c r="G34" s="70">
        <f>SUBTOTAL(109,Income!$G$27:$G$33)</f>
        <v>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0" customHeight="1" x14ac:dyDescent="0.15">
      <c r="A35" s="46"/>
      <c r="B35" s="17"/>
      <c r="C35" s="17"/>
      <c r="D35" s="17"/>
      <c r="E35" s="17"/>
      <c r="F35" s="17"/>
      <c r="G35" s="17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0" customHeight="1" x14ac:dyDescent="0.15">
      <c r="A36" s="4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0" customHeight="1" x14ac:dyDescent="0.15">
      <c r="A37" s="4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0" customHeight="1" x14ac:dyDescent="0.15">
      <c r="A38" s="4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30" customHeight="1" x14ac:dyDescent="0.15">
      <c r="A39" s="4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30" customHeight="1" x14ac:dyDescent="0.15">
      <c r="A40" s="4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30" customHeight="1" x14ac:dyDescent="0.15">
      <c r="A41" s="4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30" customHeight="1" x14ac:dyDescent="0.15">
      <c r="A42" s="4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30" customHeight="1" x14ac:dyDescent="0.15">
      <c r="A43" s="4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30" customHeight="1" x14ac:dyDescent="0.15">
      <c r="A44" s="4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0" customHeight="1" x14ac:dyDescent="0.15">
      <c r="A45" s="4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0" customHeight="1" x14ac:dyDescent="0.15">
      <c r="A46" s="4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30" customHeight="1" x14ac:dyDescent="0.15">
      <c r="A47" s="4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0" customHeight="1" x14ac:dyDescent="0.15">
      <c r="A48" s="4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0" customHeight="1" x14ac:dyDescent="0.15">
      <c r="A49" s="4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0" customHeight="1" x14ac:dyDescent="0.15">
      <c r="A50" s="4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0" customHeight="1" x14ac:dyDescent="0.15">
      <c r="A51" s="4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30" customHeight="1" x14ac:dyDescent="0.15">
      <c r="A52" s="4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30" customHeight="1" x14ac:dyDescent="0.15">
      <c r="A53" s="4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0" customHeight="1" x14ac:dyDescent="0.15">
      <c r="A54" s="4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30" customHeight="1" x14ac:dyDescent="0.15">
      <c r="A55" s="4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0" customHeight="1" x14ac:dyDescent="0.15">
      <c r="A56" s="4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30" customHeight="1" x14ac:dyDescent="0.15">
      <c r="A57" s="4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30" customHeight="1" x14ac:dyDescent="0.15">
      <c r="A58" s="4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30" customHeight="1" x14ac:dyDescent="0.15">
      <c r="A59" s="4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30" customHeight="1" x14ac:dyDescent="0.15">
      <c r="A60" s="4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30" customHeight="1" x14ac:dyDescent="0.15">
      <c r="A61" s="4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30" customHeight="1" x14ac:dyDescent="0.15">
      <c r="A62" s="4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30" customHeight="1" x14ac:dyDescent="0.15">
      <c r="A63" s="4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30" customHeight="1" x14ac:dyDescent="0.15">
      <c r="A64" s="4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30" customHeight="1" x14ac:dyDescent="0.15">
      <c r="A65" s="4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30" customHeight="1" x14ac:dyDescent="0.15">
      <c r="A66" s="4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0" customHeight="1" x14ac:dyDescent="0.15">
      <c r="A67" s="4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30" customHeight="1" x14ac:dyDescent="0.15">
      <c r="A68" s="4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30" customHeight="1" x14ac:dyDescent="0.15">
      <c r="A69" s="4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30" customHeight="1" x14ac:dyDescent="0.15">
      <c r="A70" s="4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30" customHeight="1" x14ac:dyDescent="0.15">
      <c r="A71" s="4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30" customHeight="1" x14ac:dyDescent="0.15">
      <c r="A72" s="4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30" customHeight="1" x14ac:dyDescent="0.15">
      <c r="A73" s="4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30" customHeight="1" x14ac:dyDescent="0.15">
      <c r="A74" s="4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30" customHeight="1" x14ac:dyDescent="0.15">
      <c r="A75" s="4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30" customHeight="1" x14ac:dyDescent="0.15">
      <c r="A76" s="4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30" customHeight="1" x14ac:dyDescent="0.15">
      <c r="A77" s="4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30" customHeight="1" x14ac:dyDescent="0.15">
      <c r="A78" s="4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30" customHeight="1" x14ac:dyDescent="0.15">
      <c r="A79" s="4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30" customHeight="1" x14ac:dyDescent="0.15">
      <c r="A80" s="4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30" customHeight="1" x14ac:dyDescent="0.15">
      <c r="A81" s="4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30" customHeight="1" x14ac:dyDescent="0.15">
      <c r="A82" s="4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30" customHeight="1" x14ac:dyDescent="0.15">
      <c r="A83" s="4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30" customHeight="1" x14ac:dyDescent="0.15">
      <c r="A84" s="4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30" customHeight="1" x14ac:dyDescent="0.15">
      <c r="A85" s="4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30" customHeight="1" x14ac:dyDescent="0.15">
      <c r="A86" s="4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30" customHeight="1" x14ac:dyDescent="0.15">
      <c r="A87" s="4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30" customHeight="1" x14ac:dyDescent="0.15">
      <c r="A88" s="4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30" customHeight="1" x14ac:dyDescent="0.15">
      <c r="A89" s="4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30" customHeight="1" x14ac:dyDescent="0.15">
      <c r="A90" s="4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30" customHeight="1" x14ac:dyDescent="0.15">
      <c r="A91" s="4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30" customHeight="1" x14ac:dyDescent="0.15">
      <c r="A92" s="4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30" customHeight="1" x14ac:dyDescent="0.15">
      <c r="A93" s="4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30" customHeight="1" x14ac:dyDescent="0.15">
      <c r="A94" s="4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30" customHeight="1" x14ac:dyDescent="0.15">
      <c r="A95" s="4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30" customHeight="1" x14ac:dyDescent="0.15">
      <c r="A96" s="4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30" customHeight="1" x14ac:dyDescent="0.15">
      <c r="A97" s="4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30" customHeight="1" x14ac:dyDescent="0.15">
      <c r="A98" s="4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30" customHeight="1" x14ac:dyDescent="0.15">
      <c r="A99" s="4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30" customHeight="1" x14ac:dyDescent="0.15">
      <c r="A100" s="4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30" customHeight="1" x14ac:dyDescent="0.15">
      <c r="A101" s="4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30" customHeight="1" x14ac:dyDescent="0.15">
      <c r="A102" s="4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30" customHeight="1" x14ac:dyDescent="0.15">
      <c r="A103" s="4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30" customHeight="1" x14ac:dyDescent="0.15">
      <c r="A104" s="4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30" customHeight="1" x14ac:dyDescent="0.15">
      <c r="A105" s="4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30" customHeight="1" x14ac:dyDescent="0.15">
      <c r="A106" s="4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30" customHeight="1" x14ac:dyDescent="0.15">
      <c r="A107" s="4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30" customHeight="1" x14ac:dyDescent="0.15">
      <c r="A108" s="4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30" customHeight="1" x14ac:dyDescent="0.15">
      <c r="A109" s="4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30" customHeight="1" x14ac:dyDescent="0.15">
      <c r="A110" s="4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30" customHeight="1" x14ac:dyDescent="0.15">
      <c r="A111" s="4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30" customHeight="1" x14ac:dyDescent="0.15">
      <c r="A112" s="4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30" customHeight="1" x14ac:dyDescent="0.15">
      <c r="A113" s="4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30" customHeight="1" x14ac:dyDescent="0.15">
      <c r="A114" s="4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30" customHeight="1" x14ac:dyDescent="0.15">
      <c r="A115" s="4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30" customHeight="1" x14ac:dyDescent="0.15">
      <c r="A116" s="4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30" customHeight="1" x14ac:dyDescent="0.15">
      <c r="A117" s="4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30" customHeight="1" x14ac:dyDescent="0.15">
      <c r="A118" s="4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30" customHeight="1" x14ac:dyDescent="0.15">
      <c r="A119" s="4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30" customHeight="1" x14ac:dyDescent="0.15">
      <c r="A120" s="4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30" customHeight="1" x14ac:dyDescent="0.15">
      <c r="A121" s="4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30" customHeight="1" x14ac:dyDescent="0.15">
      <c r="A122" s="4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30" customHeight="1" x14ac:dyDescent="0.15">
      <c r="A123" s="4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30" customHeight="1" x14ac:dyDescent="0.15">
      <c r="A124" s="4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30" customHeight="1" x14ac:dyDescent="0.15">
      <c r="A125" s="4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30" customHeight="1" x14ac:dyDescent="0.15">
      <c r="A126" s="4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30" customHeight="1" x14ac:dyDescent="0.15">
      <c r="A127" s="4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30" customHeight="1" x14ac:dyDescent="0.15">
      <c r="A128" s="4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30" customHeight="1" x14ac:dyDescent="0.15">
      <c r="A129" s="4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30" customHeight="1" x14ac:dyDescent="0.15">
      <c r="A130" s="4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30" customHeight="1" x14ac:dyDescent="0.15">
      <c r="A131" s="4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30" customHeight="1" x14ac:dyDescent="0.15">
      <c r="A132" s="4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30" customHeight="1" x14ac:dyDescent="0.15">
      <c r="A133" s="4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30" customHeight="1" x14ac:dyDescent="0.15">
      <c r="A134" s="4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30" customHeight="1" x14ac:dyDescent="0.15">
      <c r="A135" s="4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30" customHeight="1" x14ac:dyDescent="0.15">
      <c r="A136" s="4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30" customHeight="1" x14ac:dyDescent="0.15">
      <c r="A137" s="4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30" customHeight="1" x14ac:dyDescent="0.15">
      <c r="A138" s="4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30" customHeight="1" x14ac:dyDescent="0.15">
      <c r="A139" s="4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30" customHeight="1" x14ac:dyDescent="0.15">
      <c r="A140" s="4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30" customHeight="1" x14ac:dyDescent="0.15">
      <c r="A141" s="4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30" customHeight="1" x14ac:dyDescent="0.15">
      <c r="A142" s="4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30" customHeight="1" x14ac:dyDescent="0.15">
      <c r="A143" s="4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30" customHeight="1" x14ac:dyDescent="0.15">
      <c r="A144" s="4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30" customHeight="1" x14ac:dyDescent="0.15">
      <c r="A145" s="4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30" customHeight="1" x14ac:dyDescent="0.15">
      <c r="A146" s="4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30" customHeight="1" x14ac:dyDescent="0.15">
      <c r="A147" s="4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30" customHeight="1" x14ac:dyDescent="0.15">
      <c r="A148" s="4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30" customHeight="1" x14ac:dyDescent="0.15">
      <c r="A149" s="4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30" customHeight="1" x14ac:dyDescent="0.15">
      <c r="A150" s="4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30" customHeight="1" x14ac:dyDescent="0.15">
      <c r="A151" s="4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30" customHeight="1" x14ac:dyDescent="0.15">
      <c r="A152" s="4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30" customHeight="1" x14ac:dyDescent="0.15">
      <c r="A153" s="4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30" customHeight="1" x14ac:dyDescent="0.15">
      <c r="A154" s="4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30" customHeight="1" x14ac:dyDescent="0.15">
      <c r="A155" s="4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30" customHeight="1" x14ac:dyDescent="0.15">
      <c r="A156" s="4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30" customHeight="1" x14ac:dyDescent="0.15">
      <c r="A157" s="4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30" customHeight="1" x14ac:dyDescent="0.15">
      <c r="A158" s="4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30" customHeight="1" x14ac:dyDescent="0.15">
      <c r="A159" s="4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30" customHeight="1" x14ac:dyDescent="0.15">
      <c r="A160" s="4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30" customHeight="1" x14ac:dyDescent="0.15">
      <c r="A161" s="4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30" customHeight="1" x14ac:dyDescent="0.15">
      <c r="A162" s="4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30" customHeight="1" x14ac:dyDescent="0.15">
      <c r="A163" s="4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30" customHeight="1" x14ac:dyDescent="0.15">
      <c r="A164" s="4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30" customHeight="1" x14ac:dyDescent="0.15">
      <c r="A165" s="4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30" customHeight="1" x14ac:dyDescent="0.15">
      <c r="A166" s="4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30" customHeight="1" x14ac:dyDescent="0.15">
      <c r="A167" s="4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30" customHeight="1" x14ac:dyDescent="0.15">
      <c r="A168" s="4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30" customHeight="1" x14ac:dyDescent="0.15">
      <c r="A169" s="4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30" customHeight="1" x14ac:dyDescent="0.15">
      <c r="A170" s="4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30" customHeight="1" x14ac:dyDescent="0.15">
      <c r="A171" s="4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30" customHeight="1" x14ac:dyDescent="0.15">
      <c r="A172" s="4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30" customHeight="1" x14ac:dyDescent="0.15">
      <c r="A173" s="4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30" customHeight="1" x14ac:dyDescent="0.15">
      <c r="A174" s="4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30" customHeight="1" x14ac:dyDescent="0.15">
      <c r="A175" s="4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30" customHeight="1" x14ac:dyDescent="0.15">
      <c r="A176" s="4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30" customHeight="1" x14ac:dyDescent="0.15">
      <c r="A177" s="4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30" customHeight="1" x14ac:dyDescent="0.15">
      <c r="A178" s="4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30" customHeight="1" x14ac:dyDescent="0.15">
      <c r="A179" s="4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30" customHeight="1" x14ac:dyDescent="0.15">
      <c r="A180" s="4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30" customHeight="1" x14ac:dyDescent="0.15">
      <c r="A181" s="4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30" customHeight="1" x14ac:dyDescent="0.15">
      <c r="A182" s="4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30" customHeight="1" x14ac:dyDescent="0.15">
      <c r="A183" s="4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30" customHeight="1" x14ac:dyDescent="0.15">
      <c r="A184" s="4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30" customHeight="1" x14ac:dyDescent="0.15">
      <c r="A185" s="4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30" customHeight="1" x14ac:dyDescent="0.15">
      <c r="A186" s="4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30" customHeight="1" x14ac:dyDescent="0.15">
      <c r="A187" s="4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30" customHeight="1" x14ac:dyDescent="0.15">
      <c r="A188" s="4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30" customHeight="1" x14ac:dyDescent="0.15">
      <c r="A189" s="4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30" customHeight="1" x14ac:dyDescent="0.15">
      <c r="A190" s="4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30" customHeight="1" x14ac:dyDescent="0.15">
      <c r="A191" s="4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30" customHeight="1" x14ac:dyDescent="0.15">
      <c r="A192" s="4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30" customHeight="1" x14ac:dyDescent="0.15">
      <c r="A193" s="4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30" customHeight="1" x14ac:dyDescent="0.15">
      <c r="A194" s="4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30" customHeight="1" x14ac:dyDescent="0.15">
      <c r="A195" s="4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30" customHeight="1" x14ac:dyDescent="0.15">
      <c r="A196" s="4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30" customHeight="1" x14ac:dyDescent="0.15">
      <c r="A197" s="4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30" customHeight="1" x14ac:dyDescent="0.15">
      <c r="A198" s="4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30" customHeight="1" x14ac:dyDescent="0.15">
      <c r="A199" s="4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30" customHeight="1" x14ac:dyDescent="0.15">
      <c r="A200" s="4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30" customHeight="1" x14ac:dyDescent="0.15">
      <c r="A201" s="4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30" customHeight="1" x14ac:dyDescent="0.15">
      <c r="A202" s="4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30" customHeight="1" x14ac:dyDescent="0.15">
      <c r="A203" s="4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30" customHeight="1" x14ac:dyDescent="0.15">
      <c r="A204" s="4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30" customHeight="1" x14ac:dyDescent="0.15">
      <c r="A205" s="4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30" customHeight="1" x14ac:dyDescent="0.15">
      <c r="A206" s="4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30" customHeight="1" x14ac:dyDescent="0.15">
      <c r="A207" s="4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30" customHeight="1" x14ac:dyDescent="0.15">
      <c r="A208" s="4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30" customHeight="1" x14ac:dyDescent="0.15">
      <c r="A209" s="4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30" customHeight="1" x14ac:dyDescent="0.15">
      <c r="A210" s="4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30" customHeight="1" x14ac:dyDescent="0.15">
      <c r="A211" s="4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30" customHeight="1" x14ac:dyDescent="0.15">
      <c r="A212" s="4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30" customHeight="1" x14ac:dyDescent="0.15">
      <c r="A213" s="4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30" customHeight="1" x14ac:dyDescent="0.15">
      <c r="A214" s="4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30" customHeight="1" x14ac:dyDescent="0.15">
      <c r="A215" s="4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30" customHeight="1" x14ac:dyDescent="0.15">
      <c r="A216" s="4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30" customHeight="1" x14ac:dyDescent="0.15">
      <c r="A217" s="4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30" customHeight="1" x14ac:dyDescent="0.15">
      <c r="A218" s="4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30" customHeight="1" x14ac:dyDescent="0.15">
      <c r="A219" s="4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30" customHeight="1" x14ac:dyDescent="0.15">
      <c r="A220" s="4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30" customHeight="1" x14ac:dyDescent="0.15">
      <c r="A221" s="4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30" customHeight="1" x14ac:dyDescent="0.15">
      <c r="A222" s="4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30" customHeight="1" x14ac:dyDescent="0.15">
      <c r="A223" s="4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30" customHeight="1" x14ac:dyDescent="0.15">
      <c r="A224" s="4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30" customHeight="1" x14ac:dyDescent="0.15">
      <c r="A225" s="4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30" customHeight="1" x14ac:dyDescent="0.15">
      <c r="A226" s="4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30" customHeight="1" x14ac:dyDescent="0.15">
      <c r="A227" s="4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30" customHeight="1" x14ac:dyDescent="0.15">
      <c r="A228" s="4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30" customHeight="1" x14ac:dyDescent="0.15">
      <c r="A229" s="4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30" customHeight="1" x14ac:dyDescent="0.15">
      <c r="A230" s="4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30" customHeight="1" x14ac:dyDescent="0.15">
      <c r="A231" s="4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30" customHeight="1" x14ac:dyDescent="0.15">
      <c r="A232" s="4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30" customHeight="1" x14ac:dyDescent="0.15">
      <c r="A233" s="4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30" customHeight="1" x14ac:dyDescent="0.15">
      <c r="A234" s="4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30" customHeight="1" x14ac:dyDescent="0.15">
      <c r="A235" s="4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30" customHeight="1" x14ac:dyDescent="0.15">
      <c r="A236" s="4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30" customHeight="1" x14ac:dyDescent="0.15">
      <c r="A237" s="4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30" customHeight="1" x14ac:dyDescent="0.15">
      <c r="A238" s="4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30" customHeight="1" x14ac:dyDescent="0.15">
      <c r="A239" s="4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30" customHeight="1" x14ac:dyDescent="0.15">
      <c r="A240" s="4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30" customHeight="1" x14ac:dyDescent="0.15">
      <c r="A241" s="4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30" customHeight="1" x14ac:dyDescent="0.15">
      <c r="A242" s="4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30" customHeight="1" x14ac:dyDescent="0.15">
      <c r="A243" s="4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30" customHeight="1" x14ac:dyDescent="0.15">
      <c r="A244" s="4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30" customHeight="1" x14ac:dyDescent="0.15">
      <c r="A245" s="4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30" customHeight="1" x14ac:dyDescent="0.15">
      <c r="A246" s="4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30" customHeight="1" x14ac:dyDescent="0.15">
      <c r="A247" s="4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30" customHeight="1" x14ac:dyDescent="0.15">
      <c r="A248" s="4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30" customHeight="1" x14ac:dyDescent="0.15">
      <c r="A249" s="4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30" customHeight="1" x14ac:dyDescent="0.15">
      <c r="A250" s="4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30" customHeight="1" x14ac:dyDescent="0.15">
      <c r="A251" s="4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30" customHeight="1" x14ac:dyDescent="0.15">
      <c r="A252" s="4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30" customHeight="1" x14ac:dyDescent="0.15">
      <c r="A253" s="4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30" customHeight="1" x14ac:dyDescent="0.15">
      <c r="A254" s="4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30" customHeight="1" x14ac:dyDescent="0.15">
      <c r="A255" s="4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30" customHeight="1" x14ac:dyDescent="0.15">
      <c r="A256" s="4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30" customHeight="1" x14ac:dyDescent="0.15">
      <c r="A257" s="4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30" customHeight="1" x14ac:dyDescent="0.15">
      <c r="A258" s="4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30" customHeight="1" x14ac:dyDescent="0.15">
      <c r="A259" s="4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30" customHeight="1" x14ac:dyDescent="0.15">
      <c r="A260" s="4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30" customHeight="1" x14ac:dyDescent="0.15">
      <c r="A261" s="4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30" customHeight="1" x14ac:dyDescent="0.15">
      <c r="A262" s="4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30" customHeight="1" x14ac:dyDescent="0.15">
      <c r="A263" s="4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30" customHeight="1" x14ac:dyDescent="0.15">
      <c r="A264" s="4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30" customHeight="1" x14ac:dyDescent="0.15">
      <c r="A265" s="4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30" customHeight="1" x14ac:dyDescent="0.15">
      <c r="A266" s="4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30" customHeight="1" x14ac:dyDescent="0.15">
      <c r="A267" s="4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30" customHeight="1" x14ac:dyDescent="0.15">
      <c r="A268" s="4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30" customHeight="1" x14ac:dyDescent="0.15">
      <c r="A269" s="4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30" customHeight="1" x14ac:dyDescent="0.15">
      <c r="A270" s="4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30" customHeight="1" x14ac:dyDescent="0.15">
      <c r="A271" s="4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30" customHeight="1" x14ac:dyDescent="0.15">
      <c r="A272" s="4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30" customHeight="1" x14ac:dyDescent="0.15">
      <c r="A273" s="4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30" customHeight="1" x14ac:dyDescent="0.15">
      <c r="A274" s="4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30" customHeight="1" x14ac:dyDescent="0.15">
      <c r="A275" s="4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30" customHeight="1" x14ac:dyDescent="0.15">
      <c r="A276" s="4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30" customHeight="1" x14ac:dyDescent="0.15">
      <c r="A277" s="4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30" customHeight="1" x14ac:dyDescent="0.15">
      <c r="A278" s="4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30" customHeight="1" x14ac:dyDescent="0.15">
      <c r="A279" s="4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30" customHeight="1" x14ac:dyDescent="0.15">
      <c r="A280" s="4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30" customHeight="1" x14ac:dyDescent="0.15">
      <c r="A281" s="4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30" customHeight="1" x14ac:dyDescent="0.15">
      <c r="A282" s="4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30" customHeight="1" x14ac:dyDescent="0.15">
      <c r="A283" s="4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30" customHeight="1" x14ac:dyDescent="0.15">
      <c r="A284" s="4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30" customHeight="1" x14ac:dyDescent="0.15">
      <c r="A285" s="4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30" customHeight="1" x14ac:dyDescent="0.15">
      <c r="A286" s="4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30" customHeight="1" x14ac:dyDescent="0.15">
      <c r="A287" s="4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30" customHeight="1" x14ac:dyDescent="0.15">
      <c r="A288" s="4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30" customHeight="1" x14ac:dyDescent="0.15">
      <c r="A289" s="4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30" customHeight="1" x14ac:dyDescent="0.15">
      <c r="A290" s="4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30" customHeight="1" x14ac:dyDescent="0.15">
      <c r="A291" s="4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30" customHeight="1" x14ac:dyDescent="0.15">
      <c r="A292" s="4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30" customHeight="1" x14ac:dyDescent="0.15">
      <c r="A293" s="4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30" customHeight="1" x14ac:dyDescent="0.15">
      <c r="A294" s="4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30" customHeight="1" x14ac:dyDescent="0.15">
      <c r="A295" s="4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30" customHeight="1" x14ac:dyDescent="0.15">
      <c r="A296" s="4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30" customHeight="1" x14ac:dyDescent="0.15">
      <c r="A297" s="4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30" customHeight="1" x14ac:dyDescent="0.15">
      <c r="A298" s="4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30" customHeight="1" x14ac:dyDescent="0.15">
      <c r="A299" s="4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30" customHeight="1" x14ac:dyDescent="0.15">
      <c r="A300" s="4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30" customHeight="1" x14ac:dyDescent="0.15">
      <c r="A301" s="4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30" customHeight="1" x14ac:dyDescent="0.15">
      <c r="A302" s="4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30" customHeight="1" x14ac:dyDescent="0.15">
      <c r="A303" s="4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30" customHeight="1" x14ac:dyDescent="0.15">
      <c r="A304" s="4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30" customHeight="1" x14ac:dyDescent="0.15">
      <c r="A305" s="4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30" customHeight="1" x14ac:dyDescent="0.15">
      <c r="A306" s="4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30" customHeight="1" x14ac:dyDescent="0.15">
      <c r="A307" s="4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30" customHeight="1" x14ac:dyDescent="0.15">
      <c r="A308" s="4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30" customHeight="1" x14ac:dyDescent="0.15">
      <c r="A309" s="4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30" customHeight="1" x14ac:dyDescent="0.15">
      <c r="A310" s="4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30" customHeight="1" x14ac:dyDescent="0.15">
      <c r="A311" s="4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30" customHeight="1" x14ac:dyDescent="0.15">
      <c r="A312" s="4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30" customHeight="1" x14ac:dyDescent="0.15">
      <c r="A313" s="4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30" customHeight="1" x14ac:dyDescent="0.15">
      <c r="A314" s="4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30" customHeight="1" x14ac:dyDescent="0.15">
      <c r="A315" s="4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30" customHeight="1" x14ac:dyDescent="0.15">
      <c r="A316" s="4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30" customHeight="1" x14ac:dyDescent="0.15">
      <c r="A317" s="4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30" customHeight="1" x14ac:dyDescent="0.15">
      <c r="A318" s="4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30" customHeight="1" x14ac:dyDescent="0.15">
      <c r="A319" s="4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30" customHeight="1" x14ac:dyDescent="0.15">
      <c r="A320" s="4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30" customHeight="1" x14ac:dyDescent="0.15">
      <c r="A321" s="4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30" customHeight="1" x14ac:dyDescent="0.15">
      <c r="A322" s="4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30" customHeight="1" x14ac:dyDescent="0.15">
      <c r="A323" s="4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30" customHeight="1" x14ac:dyDescent="0.15">
      <c r="A324" s="4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30" customHeight="1" x14ac:dyDescent="0.15">
      <c r="A325" s="4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30" customHeight="1" x14ac:dyDescent="0.15">
      <c r="A326" s="4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30" customHeight="1" x14ac:dyDescent="0.15">
      <c r="A327" s="4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30" customHeight="1" x14ac:dyDescent="0.15">
      <c r="A328" s="4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30" customHeight="1" x14ac:dyDescent="0.15">
      <c r="A329" s="4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30" customHeight="1" x14ac:dyDescent="0.15">
      <c r="A330" s="4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30" customHeight="1" x14ac:dyDescent="0.15">
      <c r="A331" s="4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30" customHeight="1" x14ac:dyDescent="0.15">
      <c r="A332" s="4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30" customHeight="1" x14ac:dyDescent="0.15">
      <c r="A333" s="4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30" customHeight="1" x14ac:dyDescent="0.15">
      <c r="A334" s="4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30" customHeight="1" x14ac:dyDescent="0.15">
      <c r="A335" s="4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30" customHeight="1" x14ac:dyDescent="0.15">
      <c r="A336" s="4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30" customHeight="1" x14ac:dyDescent="0.15">
      <c r="A337" s="4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30" customHeight="1" x14ac:dyDescent="0.15">
      <c r="A338" s="4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30" customHeight="1" x14ac:dyDescent="0.15">
      <c r="A339" s="4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30" customHeight="1" x14ac:dyDescent="0.15">
      <c r="A340" s="4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30" customHeight="1" x14ac:dyDescent="0.15">
      <c r="A341" s="4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30" customHeight="1" x14ac:dyDescent="0.15">
      <c r="A342" s="4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30" customHeight="1" x14ac:dyDescent="0.15">
      <c r="A343" s="4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30" customHeight="1" x14ac:dyDescent="0.15">
      <c r="A344" s="4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30" customHeight="1" x14ac:dyDescent="0.15">
      <c r="A345" s="4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30" customHeight="1" x14ac:dyDescent="0.15">
      <c r="A346" s="4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30" customHeight="1" x14ac:dyDescent="0.15">
      <c r="A347" s="4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30" customHeight="1" x14ac:dyDescent="0.15">
      <c r="A348" s="4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30" customHeight="1" x14ac:dyDescent="0.15">
      <c r="A349" s="4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30" customHeight="1" x14ac:dyDescent="0.15">
      <c r="A350" s="4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30" customHeight="1" x14ac:dyDescent="0.15">
      <c r="A351" s="4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30" customHeight="1" x14ac:dyDescent="0.15">
      <c r="A352" s="4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30" customHeight="1" x14ac:dyDescent="0.15">
      <c r="A353" s="4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30" customHeight="1" x14ac:dyDescent="0.15">
      <c r="A354" s="4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30" customHeight="1" x14ac:dyDescent="0.15">
      <c r="A355" s="4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30" customHeight="1" x14ac:dyDescent="0.15">
      <c r="A356" s="4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30" customHeight="1" x14ac:dyDescent="0.15">
      <c r="A357" s="4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30" customHeight="1" x14ac:dyDescent="0.15">
      <c r="A358" s="4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30" customHeight="1" x14ac:dyDescent="0.15">
      <c r="A359" s="4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30" customHeight="1" x14ac:dyDescent="0.15">
      <c r="A360" s="4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30" customHeight="1" x14ac:dyDescent="0.15">
      <c r="A361" s="4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30" customHeight="1" x14ac:dyDescent="0.15">
      <c r="A362" s="4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30" customHeight="1" x14ac:dyDescent="0.15">
      <c r="A363" s="4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30" customHeight="1" x14ac:dyDescent="0.15">
      <c r="A364" s="4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30" customHeight="1" x14ac:dyDescent="0.15">
      <c r="A365" s="4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30" customHeight="1" x14ac:dyDescent="0.15">
      <c r="A366" s="4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30" customHeight="1" x14ac:dyDescent="0.15">
      <c r="A367" s="4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30" customHeight="1" x14ac:dyDescent="0.15">
      <c r="A368" s="4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30" customHeight="1" x14ac:dyDescent="0.15">
      <c r="A369" s="4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30" customHeight="1" x14ac:dyDescent="0.15">
      <c r="A370" s="4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30" customHeight="1" x14ac:dyDescent="0.15">
      <c r="A371" s="4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30" customHeight="1" x14ac:dyDescent="0.15">
      <c r="A372" s="4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30" customHeight="1" x14ac:dyDescent="0.15">
      <c r="A373" s="4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30" customHeight="1" x14ac:dyDescent="0.15">
      <c r="A374" s="4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30" customHeight="1" x14ac:dyDescent="0.15">
      <c r="A375" s="4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30" customHeight="1" x14ac:dyDescent="0.15">
      <c r="A376" s="4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30" customHeight="1" x14ac:dyDescent="0.15">
      <c r="A377" s="4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30" customHeight="1" x14ac:dyDescent="0.15">
      <c r="A378" s="4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30" customHeight="1" x14ac:dyDescent="0.15">
      <c r="A379" s="4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30" customHeight="1" x14ac:dyDescent="0.15">
      <c r="A380" s="4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30" customHeight="1" x14ac:dyDescent="0.15">
      <c r="A381" s="4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30" customHeight="1" x14ac:dyDescent="0.15">
      <c r="A382" s="4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30" customHeight="1" x14ac:dyDescent="0.15">
      <c r="A383" s="4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30" customHeight="1" x14ac:dyDescent="0.15">
      <c r="A384" s="4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30" customHeight="1" x14ac:dyDescent="0.15">
      <c r="A385" s="4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30" customHeight="1" x14ac:dyDescent="0.15">
      <c r="A386" s="4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30" customHeight="1" x14ac:dyDescent="0.15">
      <c r="A387" s="4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30" customHeight="1" x14ac:dyDescent="0.15">
      <c r="A388" s="4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30" customHeight="1" x14ac:dyDescent="0.15">
      <c r="A389" s="4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30" customHeight="1" x14ac:dyDescent="0.15">
      <c r="A390" s="4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30" customHeight="1" x14ac:dyDescent="0.15">
      <c r="A391" s="4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30" customHeight="1" x14ac:dyDescent="0.15">
      <c r="A392" s="4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30" customHeight="1" x14ac:dyDescent="0.15">
      <c r="A393" s="4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30" customHeight="1" x14ac:dyDescent="0.15">
      <c r="A394" s="4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30" customHeight="1" x14ac:dyDescent="0.15">
      <c r="A395" s="4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30" customHeight="1" x14ac:dyDescent="0.15">
      <c r="A396" s="4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30" customHeight="1" x14ac:dyDescent="0.15">
      <c r="A397" s="4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30" customHeight="1" x14ac:dyDescent="0.15">
      <c r="A398" s="4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30" customHeight="1" x14ac:dyDescent="0.15">
      <c r="A399" s="4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30" customHeight="1" x14ac:dyDescent="0.15">
      <c r="A400" s="4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30" customHeight="1" x14ac:dyDescent="0.15">
      <c r="A401" s="4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30" customHeight="1" x14ac:dyDescent="0.15">
      <c r="A402" s="4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30" customHeight="1" x14ac:dyDescent="0.15">
      <c r="A403" s="4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30" customHeight="1" x14ac:dyDescent="0.15">
      <c r="A404" s="4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30" customHeight="1" x14ac:dyDescent="0.15">
      <c r="A405" s="4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30" customHeight="1" x14ac:dyDescent="0.15">
      <c r="A406" s="4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30" customHeight="1" x14ac:dyDescent="0.15">
      <c r="A407" s="4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30" customHeight="1" x14ac:dyDescent="0.15">
      <c r="A408" s="4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30" customHeight="1" x14ac:dyDescent="0.15">
      <c r="A409" s="4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30" customHeight="1" x14ac:dyDescent="0.15">
      <c r="A410" s="4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30" customHeight="1" x14ac:dyDescent="0.15">
      <c r="A411" s="4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30" customHeight="1" x14ac:dyDescent="0.15">
      <c r="A412" s="4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30" customHeight="1" x14ac:dyDescent="0.15">
      <c r="A413" s="4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30" customHeight="1" x14ac:dyDescent="0.15">
      <c r="A414" s="4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30" customHeight="1" x14ac:dyDescent="0.15">
      <c r="A415" s="4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30" customHeight="1" x14ac:dyDescent="0.15">
      <c r="A416" s="4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30" customHeight="1" x14ac:dyDescent="0.15">
      <c r="A417" s="4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30" customHeight="1" x14ac:dyDescent="0.15">
      <c r="A418" s="4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30" customHeight="1" x14ac:dyDescent="0.15">
      <c r="A419" s="4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30" customHeight="1" x14ac:dyDescent="0.15">
      <c r="A420" s="4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30" customHeight="1" x14ac:dyDescent="0.15">
      <c r="A421" s="4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30" customHeight="1" x14ac:dyDescent="0.15">
      <c r="A422" s="4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30" customHeight="1" x14ac:dyDescent="0.15">
      <c r="A423" s="4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30" customHeight="1" x14ac:dyDescent="0.15">
      <c r="A424" s="4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30" customHeight="1" x14ac:dyDescent="0.15">
      <c r="A425" s="4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30" customHeight="1" x14ac:dyDescent="0.15">
      <c r="A426" s="4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30" customHeight="1" x14ac:dyDescent="0.15">
      <c r="A427" s="4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30" customHeight="1" x14ac:dyDescent="0.15">
      <c r="A428" s="4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30" customHeight="1" x14ac:dyDescent="0.15">
      <c r="A429" s="4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30" customHeight="1" x14ac:dyDescent="0.15">
      <c r="A430" s="4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30" customHeight="1" x14ac:dyDescent="0.15">
      <c r="A431" s="4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30" customHeight="1" x14ac:dyDescent="0.15">
      <c r="A432" s="4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30" customHeight="1" x14ac:dyDescent="0.15">
      <c r="A433" s="4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30" customHeight="1" x14ac:dyDescent="0.15">
      <c r="A434" s="4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30" customHeight="1" x14ac:dyDescent="0.15">
      <c r="A435" s="4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30" customHeight="1" x14ac:dyDescent="0.15">
      <c r="A436" s="4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30" customHeight="1" x14ac:dyDescent="0.15">
      <c r="A437" s="4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30" customHeight="1" x14ac:dyDescent="0.15">
      <c r="A438" s="4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30" customHeight="1" x14ac:dyDescent="0.15">
      <c r="A439" s="4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30" customHeight="1" x14ac:dyDescent="0.15">
      <c r="A440" s="4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30" customHeight="1" x14ac:dyDescent="0.15">
      <c r="A441" s="4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30" customHeight="1" x14ac:dyDescent="0.15">
      <c r="A442" s="4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30" customHeight="1" x14ac:dyDescent="0.15">
      <c r="A443" s="4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30" customHeight="1" x14ac:dyDescent="0.15">
      <c r="A444" s="4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30" customHeight="1" x14ac:dyDescent="0.15">
      <c r="A445" s="4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30" customHeight="1" x14ac:dyDescent="0.15">
      <c r="A446" s="4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30" customHeight="1" x14ac:dyDescent="0.15">
      <c r="A447" s="4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30" customHeight="1" x14ac:dyDescent="0.15">
      <c r="A448" s="4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30" customHeight="1" x14ac:dyDescent="0.15">
      <c r="A449" s="4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30" customHeight="1" x14ac:dyDescent="0.15">
      <c r="A450" s="4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30" customHeight="1" x14ac:dyDescent="0.15">
      <c r="A451" s="4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30" customHeight="1" x14ac:dyDescent="0.15">
      <c r="A452" s="4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30" customHeight="1" x14ac:dyDescent="0.15">
      <c r="A453" s="4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30" customHeight="1" x14ac:dyDescent="0.15">
      <c r="A454" s="4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30" customHeight="1" x14ac:dyDescent="0.15">
      <c r="A455" s="4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30" customHeight="1" x14ac:dyDescent="0.15">
      <c r="A456" s="4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30" customHeight="1" x14ac:dyDescent="0.15">
      <c r="A457" s="4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30" customHeight="1" x14ac:dyDescent="0.15">
      <c r="A458" s="4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30" customHeight="1" x14ac:dyDescent="0.15">
      <c r="A459" s="4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30" customHeight="1" x14ac:dyDescent="0.15">
      <c r="A460" s="4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30" customHeight="1" x14ac:dyDescent="0.15">
      <c r="A461" s="4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30" customHeight="1" x14ac:dyDescent="0.15">
      <c r="A462" s="4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30" customHeight="1" x14ac:dyDescent="0.15">
      <c r="A463" s="4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30" customHeight="1" x14ac:dyDescent="0.15">
      <c r="A464" s="4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30" customHeight="1" x14ac:dyDescent="0.15">
      <c r="A465" s="4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30" customHeight="1" x14ac:dyDescent="0.15">
      <c r="A466" s="4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30" customHeight="1" x14ac:dyDescent="0.15">
      <c r="A467" s="4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30" customHeight="1" x14ac:dyDescent="0.15">
      <c r="A468" s="4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30" customHeight="1" x14ac:dyDescent="0.15">
      <c r="A469" s="4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30" customHeight="1" x14ac:dyDescent="0.15">
      <c r="A470" s="4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30" customHeight="1" x14ac:dyDescent="0.15">
      <c r="A471" s="4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30" customHeight="1" x14ac:dyDescent="0.15">
      <c r="A472" s="4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30" customHeight="1" x14ac:dyDescent="0.15">
      <c r="A473" s="4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30" customHeight="1" x14ac:dyDescent="0.15">
      <c r="A474" s="4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30" customHeight="1" x14ac:dyDescent="0.15">
      <c r="A475" s="4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30" customHeight="1" x14ac:dyDescent="0.15">
      <c r="A476" s="4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30" customHeight="1" x14ac:dyDescent="0.15">
      <c r="A477" s="4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30" customHeight="1" x14ac:dyDescent="0.15">
      <c r="A478" s="4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30" customHeight="1" x14ac:dyDescent="0.15">
      <c r="A479" s="4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30" customHeight="1" x14ac:dyDescent="0.15">
      <c r="A480" s="4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30" customHeight="1" x14ac:dyDescent="0.15">
      <c r="A481" s="4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30" customHeight="1" x14ac:dyDescent="0.15">
      <c r="A482" s="4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30" customHeight="1" x14ac:dyDescent="0.15">
      <c r="A483" s="4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30" customHeight="1" x14ac:dyDescent="0.15">
      <c r="A484" s="4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30" customHeight="1" x14ac:dyDescent="0.15">
      <c r="A485" s="4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30" customHeight="1" x14ac:dyDescent="0.15">
      <c r="A486" s="4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30" customHeight="1" x14ac:dyDescent="0.15">
      <c r="A487" s="4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30" customHeight="1" x14ac:dyDescent="0.15">
      <c r="A488" s="4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30" customHeight="1" x14ac:dyDescent="0.15">
      <c r="A489" s="4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30" customHeight="1" x14ac:dyDescent="0.15">
      <c r="A490" s="4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30" customHeight="1" x14ac:dyDescent="0.15">
      <c r="A491" s="4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30" customHeight="1" x14ac:dyDescent="0.15">
      <c r="A492" s="4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30" customHeight="1" x14ac:dyDescent="0.15">
      <c r="A493" s="4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30" customHeight="1" x14ac:dyDescent="0.15">
      <c r="A494" s="4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30" customHeight="1" x14ac:dyDescent="0.15">
      <c r="A495" s="4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30" customHeight="1" x14ac:dyDescent="0.15">
      <c r="A496" s="4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30" customHeight="1" x14ac:dyDescent="0.15">
      <c r="A497" s="4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30" customHeight="1" x14ac:dyDescent="0.15">
      <c r="A498" s="4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30" customHeight="1" x14ac:dyDescent="0.15">
      <c r="A499" s="4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30" customHeight="1" x14ac:dyDescent="0.15">
      <c r="A500" s="4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30" customHeight="1" x14ac:dyDescent="0.15">
      <c r="A501" s="4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30" customHeight="1" x14ac:dyDescent="0.15">
      <c r="A502" s="4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30" customHeight="1" x14ac:dyDescent="0.15">
      <c r="A503" s="4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30" customHeight="1" x14ac:dyDescent="0.15">
      <c r="A504" s="4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30" customHeight="1" x14ac:dyDescent="0.15">
      <c r="A505" s="4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30" customHeight="1" x14ac:dyDescent="0.15">
      <c r="A506" s="4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30" customHeight="1" x14ac:dyDescent="0.15">
      <c r="A507" s="4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30" customHeight="1" x14ac:dyDescent="0.15">
      <c r="A508" s="4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30" customHeight="1" x14ac:dyDescent="0.15">
      <c r="A509" s="4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30" customHeight="1" x14ac:dyDescent="0.15">
      <c r="A510" s="4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30" customHeight="1" x14ac:dyDescent="0.15">
      <c r="A511" s="4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30" customHeight="1" x14ac:dyDescent="0.15">
      <c r="A512" s="4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30" customHeight="1" x14ac:dyDescent="0.15">
      <c r="A513" s="4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30" customHeight="1" x14ac:dyDescent="0.15">
      <c r="A514" s="4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30" customHeight="1" x14ac:dyDescent="0.15">
      <c r="A515" s="4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30" customHeight="1" x14ac:dyDescent="0.15">
      <c r="A516" s="4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30" customHeight="1" x14ac:dyDescent="0.15">
      <c r="A517" s="4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30" customHeight="1" x14ac:dyDescent="0.15">
      <c r="A518" s="4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30" customHeight="1" x14ac:dyDescent="0.15">
      <c r="A519" s="4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30" customHeight="1" x14ac:dyDescent="0.15">
      <c r="A520" s="4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30" customHeight="1" x14ac:dyDescent="0.15">
      <c r="A521" s="4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30" customHeight="1" x14ac:dyDescent="0.15">
      <c r="A522" s="4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30" customHeight="1" x14ac:dyDescent="0.15">
      <c r="A523" s="4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30" customHeight="1" x14ac:dyDescent="0.15">
      <c r="A524" s="4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30" customHeight="1" x14ac:dyDescent="0.15">
      <c r="A525" s="4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30" customHeight="1" x14ac:dyDescent="0.15">
      <c r="A526" s="4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30" customHeight="1" x14ac:dyDescent="0.15">
      <c r="A527" s="4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30" customHeight="1" x14ac:dyDescent="0.15">
      <c r="A528" s="4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30" customHeight="1" x14ac:dyDescent="0.15">
      <c r="A529" s="4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30" customHeight="1" x14ac:dyDescent="0.15">
      <c r="A530" s="4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30" customHeight="1" x14ac:dyDescent="0.15">
      <c r="A531" s="4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30" customHeight="1" x14ac:dyDescent="0.15">
      <c r="A532" s="4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30" customHeight="1" x14ac:dyDescent="0.15">
      <c r="A533" s="4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30" customHeight="1" x14ac:dyDescent="0.15">
      <c r="A534" s="4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30" customHeight="1" x14ac:dyDescent="0.15">
      <c r="A535" s="4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30" customHeight="1" x14ac:dyDescent="0.15">
      <c r="A536" s="4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30" customHeight="1" x14ac:dyDescent="0.15">
      <c r="A537" s="4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30" customHeight="1" x14ac:dyDescent="0.15">
      <c r="A538" s="4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30" customHeight="1" x14ac:dyDescent="0.15">
      <c r="A539" s="4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30" customHeight="1" x14ac:dyDescent="0.15">
      <c r="A540" s="4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30" customHeight="1" x14ac:dyDescent="0.15">
      <c r="A541" s="4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30" customHeight="1" x14ac:dyDescent="0.15">
      <c r="A542" s="4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30" customHeight="1" x14ac:dyDescent="0.15">
      <c r="A543" s="4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30" customHeight="1" x14ac:dyDescent="0.15">
      <c r="A544" s="4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30" customHeight="1" x14ac:dyDescent="0.15">
      <c r="A545" s="4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30" customHeight="1" x14ac:dyDescent="0.15">
      <c r="A546" s="4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30" customHeight="1" x14ac:dyDescent="0.15">
      <c r="A547" s="4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30" customHeight="1" x14ac:dyDescent="0.15">
      <c r="A548" s="4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30" customHeight="1" x14ac:dyDescent="0.15">
      <c r="A549" s="4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30" customHeight="1" x14ac:dyDescent="0.15">
      <c r="A550" s="4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30" customHeight="1" x14ac:dyDescent="0.15">
      <c r="A551" s="4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30" customHeight="1" x14ac:dyDescent="0.15">
      <c r="A552" s="4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30" customHeight="1" x14ac:dyDescent="0.15">
      <c r="A553" s="4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30" customHeight="1" x14ac:dyDescent="0.15">
      <c r="A554" s="4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30" customHeight="1" x14ac:dyDescent="0.15">
      <c r="A555" s="4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30" customHeight="1" x14ac:dyDescent="0.15">
      <c r="A556" s="4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30" customHeight="1" x14ac:dyDescent="0.15">
      <c r="A557" s="4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30" customHeight="1" x14ac:dyDescent="0.15">
      <c r="A558" s="4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30" customHeight="1" x14ac:dyDescent="0.15">
      <c r="A559" s="4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30" customHeight="1" x14ac:dyDescent="0.15">
      <c r="A560" s="4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30" customHeight="1" x14ac:dyDescent="0.15">
      <c r="A561" s="4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30" customHeight="1" x14ac:dyDescent="0.15">
      <c r="A562" s="4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30" customHeight="1" x14ac:dyDescent="0.15">
      <c r="A563" s="4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30" customHeight="1" x14ac:dyDescent="0.15">
      <c r="A564" s="4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30" customHeight="1" x14ac:dyDescent="0.15">
      <c r="A565" s="4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30" customHeight="1" x14ac:dyDescent="0.15">
      <c r="A566" s="4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30" customHeight="1" x14ac:dyDescent="0.15">
      <c r="A567" s="4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30" customHeight="1" x14ac:dyDescent="0.15">
      <c r="A568" s="4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30" customHeight="1" x14ac:dyDescent="0.15">
      <c r="A569" s="4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30" customHeight="1" x14ac:dyDescent="0.15">
      <c r="A570" s="4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30" customHeight="1" x14ac:dyDescent="0.15">
      <c r="A571" s="4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30" customHeight="1" x14ac:dyDescent="0.15">
      <c r="A572" s="4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30" customHeight="1" x14ac:dyDescent="0.15">
      <c r="A573" s="4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30" customHeight="1" x14ac:dyDescent="0.15">
      <c r="A574" s="4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30" customHeight="1" x14ac:dyDescent="0.15">
      <c r="A575" s="4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30" customHeight="1" x14ac:dyDescent="0.15">
      <c r="A576" s="4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30" customHeight="1" x14ac:dyDescent="0.15">
      <c r="A577" s="4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30" customHeight="1" x14ac:dyDescent="0.15">
      <c r="A578" s="4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30" customHeight="1" x14ac:dyDescent="0.15">
      <c r="A579" s="4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30" customHeight="1" x14ac:dyDescent="0.15">
      <c r="A580" s="4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30" customHeight="1" x14ac:dyDescent="0.15">
      <c r="A581" s="4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30" customHeight="1" x14ac:dyDescent="0.15">
      <c r="A582" s="4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30" customHeight="1" x14ac:dyDescent="0.15">
      <c r="A583" s="4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30" customHeight="1" x14ac:dyDescent="0.15">
      <c r="A584" s="4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30" customHeight="1" x14ac:dyDescent="0.15">
      <c r="A585" s="4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30" customHeight="1" x14ac:dyDescent="0.15">
      <c r="A586" s="4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30" customHeight="1" x14ac:dyDescent="0.15">
      <c r="A587" s="4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30" customHeight="1" x14ac:dyDescent="0.15">
      <c r="A588" s="4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30" customHeight="1" x14ac:dyDescent="0.15">
      <c r="A589" s="4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30" customHeight="1" x14ac:dyDescent="0.15">
      <c r="A590" s="4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30" customHeight="1" x14ac:dyDescent="0.15">
      <c r="A591" s="4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30" customHeight="1" x14ac:dyDescent="0.15">
      <c r="A592" s="4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30" customHeight="1" x14ac:dyDescent="0.15">
      <c r="A593" s="4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30" customHeight="1" x14ac:dyDescent="0.15">
      <c r="A594" s="4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30" customHeight="1" x14ac:dyDescent="0.15">
      <c r="A595" s="4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30" customHeight="1" x14ac:dyDescent="0.15">
      <c r="A596" s="4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30" customHeight="1" x14ac:dyDescent="0.15">
      <c r="A597" s="4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30" customHeight="1" x14ac:dyDescent="0.15">
      <c r="A598" s="4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30" customHeight="1" x14ac:dyDescent="0.15">
      <c r="A599" s="4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30" customHeight="1" x14ac:dyDescent="0.15">
      <c r="A600" s="4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30" customHeight="1" x14ac:dyDescent="0.15">
      <c r="A601" s="4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30" customHeight="1" x14ac:dyDescent="0.15">
      <c r="A602" s="4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30" customHeight="1" x14ac:dyDescent="0.15">
      <c r="A603" s="4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30" customHeight="1" x14ac:dyDescent="0.15">
      <c r="A604" s="4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30" customHeight="1" x14ac:dyDescent="0.15">
      <c r="A605" s="4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30" customHeight="1" x14ac:dyDescent="0.15">
      <c r="A606" s="4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30" customHeight="1" x14ac:dyDescent="0.15">
      <c r="A607" s="4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30" customHeight="1" x14ac:dyDescent="0.15">
      <c r="A608" s="4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30" customHeight="1" x14ac:dyDescent="0.15">
      <c r="A609" s="4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30" customHeight="1" x14ac:dyDescent="0.15">
      <c r="A610" s="4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30" customHeight="1" x14ac:dyDescent="0.15">
      <c r="A611" s="4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30" customHeight="1" x14ac:dyDescent="0.15">
      <c r="A612" s="4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30" customHeight="1" x14ac:dyDescent="0.15">
      <c r="A613" s="4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30" customHeight="1" x14ac:dyDescent="0.15">
      <c r="A614" s="4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30" customHeight="1" x14ac:dyDescent="0.15">
      <c r="A615" s="4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30" customHeight="1" x14ac:dyDescent="0.15">
      <c r="A616" s="4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30" customHeight="1" x14ac:dyDescent="0.15">
      <c r="A617" s="4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30" customHeight="1" x14ac:dyDescent="0.15">
      <c r="A618" s="4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30" customHeight="1" x14ac:dyDescent="0.15">
      <c r="A619" s="4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30" customHeight="1" x14ac:dyDescent="0.15">
      <c r="A620" s="4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30" customHeight="1" x14ac:dyDescent="0.15">
      <c r="A621" s="4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30" customHeight="1" x14ac:dyDescent="0.15">
      <c r="A622" s="4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30" customHeight="1" x14ac:dyDescent="0.15">
      <c r="A623" s="4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30" customHeight="1" x14ac:dyDescent="0.15">
      <c r="A624" s="4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30" customHeight="1" x14ac:dyDescent="0.15">
      <c r="A625" s="4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30" customHeight="1" x14ac:dyDescent="0.15">
      <c r="A626" s="4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30" customHeight="1" x14ac:dyDescent="0.15">
      <c r="A627" s="4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30" customHeight="1" x14ac:dyDescent="0.15">
      <c r="A628" s="4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30" customHeight="1" x14ac:dyDescent="0.15">
      <c r="A629" s="4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30" customHeight="1" x14ac:dyDescent="0.15">
      <c r="A630" s="4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30" customHeight="1" x14ac:dyDescent="0.15">
      <c r="A631" s="4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30" customHeight="1" x14ac:dyDescent="0.15">
      <c r="A632" s="4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30" customHeight="1" x14ac:dyDescent="0.15">
      <c r="A633" s="4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30" customHeight="1" x14ac:dyDescent="0.15">
      <c r="A634" s="4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30" customHeight="1" x14ac:dyDescent="0.15">
      <c r="A635" s="4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30" customHeight="1" x14ac:dyDescent="0.15">
      <c r="A636" s="4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30" customHeight="1" x14ac:dyDescent="0.15">
      <c r="A637" s="4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30" customHeight="1" x14ac:dyDescent="0.15">
      <c r="A638" s="4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30" customHeight="1" x14ac:dyDescent="0.15">
      <c r="A639" s="4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30" customHeight="1" x14ac:dyDescent="0.15">
      <c r="A640" s="4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30" customHeight="1" x14ac:dyDescent="0.15">
      <c r="A641" s="4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30" customHeight="1" x14ac:dyDescent="0.15">
      <c r="A642" s="4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30" customHeight="1" x14ac:dyDescent="0.15">
      <c r="A643" s="4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30" customHeight="1" x14ac:dyDescent="0.15">
      <c r="A644" s="4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30" customHeight="1" x14ac:dyDescent="0.15">
      <c r="A645" s="4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30" customHeight="1" x14ac:dyDescent="0.15">
      <c r="A646" s="4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30" customHeight="1" x14ac:dyDescent="0.15">
      <c r="A647" s="4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30" customHeight="1" x14ac:dyDescent="0.15">
      <c r="A648" s="4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30" customHeight="1" x14ac:dyDescent="0.15">
      <c r="A649" s="4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30" customHeight="1" x14ac:dyDescent="0.15">
      <c r="A650" s="4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30" customHeight="1" x14ac:dyDescent="0.15">
      <c r="A651" s="4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30" customHeight="1" x14ac:dyDescent="0.15">
      <c r="A652" s="4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30" customHeight="1" x14ac:dyDescent="0.15">
      <c r="A653" s="4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30" customHeight="1" x14ac:dyDescent="0.15">
      <c r="A654" s="4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30" customHeight="1" x14ac:dyDescent="0.15">
      <c r="A655" s="4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30" customHeight="1" x14ac:dyDescent="0.15">
      <c r="A656" s="4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30" customHeight="1" x14ac:dyDescent="0.15">
      <c r="A657" s="4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30" customHeight="1" x14ac:dyDescent="0.15">
      <c r="A658" s="4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30" customHeight="1" x14ac:dyDescent="0.15">
      <c r="A659" s="4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30" customHeight="1" x14ac:dyDescent="0.15">
      <c r="A660" s="4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30" customHeight="1" x14ac:dyDescent="0.15">
      <c r="A661" s="4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30" customHeight="1" x14ac:dyDescent="0.15">
      <c r="A662" s="4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30" customHeight="1" x14ac:dyDescent="0.15">
      <c r="A663" s="4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30" customHeight="1" x14ac:dyDescent="0.15">
      <c r="A664" s="4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30" customHeight="1" x14ac:dyDescent="0.15">
      <c r="A665" s="4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30" customHeight="1" x14ac:dyDescent="0.15">
      <c r="A666" s="4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30" customHeight="1" x14ac:dyDescent="0.15">
      <c r="A667" s="4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30" customHeight="1" x14ac:dyDescent="0.15">
      <c r="A668" s="4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30" customHeight="1" x14ac:dyDescent="0.15">
      <c r="A669" s="4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30" customHeight="1" x14ac:dyDescent="0.15">
      <c r="A670" s="4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30" customHeight="1" x14ac:dyDescent="0.15">
      <c r="A671" s="4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30" customHeight="1" x14ac:dyDescent="0.15">
      <c r="A672" s="4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30" customHeight="1" x14ac:dyDescent="0.15">
      <c r="A673" s="4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30" customHeight="1" x14ac:dyDescent="0.15">
      <c r="A674" s="4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30" customHeight="1" x14ac:dyDescent="0.15">
      <c r="A675" s="4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30" customHeight="1" x14ac:dyDescent="0.15">
      <c r="A676" s="4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30" customHeight="1" x14ac:dyDescent="0.15">
      <c r="A677" s="4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30" customHeight="1" x14ac:dyDescent="0.15">
      <c r="A678" s="4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30" customHeight="1" x14ac:dyDescent="0.15">
      <c r="A679" s="4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30" customHeight="1" x14ac:dyDescent="0.15">
      <c r="A680" s="4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30" customHeight="1" x14ac:dyDescent="0.15">
      <c r="A681" s="4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30" customHeight="1" x14ac:dyDescent="0.15">
      <c r="A682" s="4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30" customHeight="1" x14ac:dyDescent="0.15">
      <c r="A683" s="4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30" customHeight="1" x14ac:dyDescent="0.15">
      <c r="A684" s="4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30" customHeight="1" x14ac:dyDescent="0.15">
      <c r="A685" s="4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30" customHeight="1" x14ac:dyDescent="0.15">
      <c r="A686" s="4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30" customHeight="1" x14ac:dyDescent="0.15">
      <c r="A687" s="4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30" customHeight="1" x14ac:dyDescent="0.15">
      <c r="A688" s="4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30" customHeight="1" x14ac:dyDescent="0.15">
      <c r="A689" s="4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30" customHeight="1" x14ac:dyDescent="0.15">
      <c r="A690" s="4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30" customHeight="1" x14ac:dyDescent="0.15">
      <c r="A691" s="4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30" customHeight="1" x14ac:dyDescent="0.15">
      <c r="A692" s="4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30" customHeight="1" x14ac:dyDescent="0.15">
      <c r="A693" s="4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30" customHeight="1" x14ac:dyDescent="0.15">
      <c r="A694" s="4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30" customHeight="1" x14ac:dyDescent="0.15">
      <c r="A695" s="4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30" customHeight="1" x14ac:dyDescent="0.15">
      <c r="A696" s="4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30" customHeight="1" x14ac:dyDescent="0.15">
      <c r="A697" s="4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30" customHeight="1" x14ac:dyDescent="0.15">
      <c r="A698" s="4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30" customHeight="1" x14ac:dyDescent="0.15">
      <c r="A699" s="4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30" customHeight="1" x14ac:dyDescent="0.15">
      <c r="A700" s="4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30" customHeight="1" x14ac:dyDescent="0.15">
      <c r="A701" s="4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30" customHeight="1" x14ac:dyDescent="0.15">
      <c r="A702" s="4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30" customHeight="1" x14ac:dyDescent="0.15">
      <c r="A703" s="4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30" customHeight="1" x14ac:dyDescent="0.15">
      <c r="A704" s="4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30" customHeight="1" x14ac:dyDescent="0.15">
      <c r="A705" s="4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30" customHeight="1" x14ac:dyDescent="0.15">
      <c r="A706" s="4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30" customHeight="1" x14ac:dyDescent="0.15">
      <c r="A707" s="4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30" customHeight="1" x14ac:dyDescent="0.15">
      <c r="A708" s="4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30" customHeight="1" x14ac:dyDescent="0.15">
      <c r="A709" s="4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30" customHeight="1" x14ac:dyDescent="0.15">
      <c r="A710" s="4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30" customHeight="1" x14ac:dyDescent="0.15">
      <c r="A711" s="4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30" customHeight="1" x14ac:dyDescent="0.15">
      <c r="A712" s="4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30" customHeight="1" x14ac:dyDescent="0.15">
      <c r="A713" s="4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30" customHeight="1" x14ac:dyDescent="0.15">
      <c r="A714" s="4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30" customHeight="1" x14ac:dyDescent="0.15">
      <c r="A715" s="4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30" customHeight="1" x14ac:dyDescent="0.15">
      <c r="A716" s="4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30" customHeight="1" x14ac:dyDescent="0.15">
      <c r="A717" s="4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30" customHeight="1" x14ac:dyDescent="0.15">
      <c r="A718" s="4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30" customHeight="1" x14ac:dyDescent="0.15">
      <c r="A719" s="4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30" customHeight="1" x14ac:dyDescent="0.15">
      <c r="A720" s="4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30" customHeight="1" x14ac:dyDescent="0.15">
      <c r="A721" s="4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30" customHeight="1" x14ac:dyDescent="0.15">
      <c r="A722" s="4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30" customHeight="1" x14ac:dyDescent="0.15">
      <c r="A723" s="4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30" customHeight="1" x14ac:dyDescent="0.15">
      <c r="A724" s="4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30" customHeight="1" x14ac:dyDescent="0.15">
      <c r="A725" s="4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30" customHeight="1" x14ac:dyDescent="0.15">
      <c r="A726" s="4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30" customHeight="1" x14ac:dyDescent="0.15">
      <c r="A727" s="4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30" customHeight="1" x14ac:dyDescent="0.15">
      <c r="A728" s="4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30" customHeight="1" x14ac:dyDescent="0.15">
      <c r="A729" s="4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30" customHeight="1" x14ac:dyDescent="0.15">
      <c r="A730" s="4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30" customHeight="1" x14ac:dyDescent="0.15">
      <c r="A731" s="4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30" customHeight="1" x14ac:dyDescent="0.15">
      <c r="A732" s="4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30" customHeight="1" x14ac:dyDescent="0.15">
      <c r="A733" s="4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30" customHeight="1" x14ac:dyDescent="0.15">
      <c r="A734" s="4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30" customHeight="1" x14ac:dyDescent="0.15">
      <c r="A735" s="4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30" customHeight="1" x14ac:dyDescent="0.15">
      <c r="A736" s="4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30" customHeight="1" x14ac:dyDescent="0.15">
      <c r="A737" s="4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30" customHeight="1" x14ac:dyDescent="0.15">
      <c r="A738" s="4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30" customHeight="1" x14ac:dyDescent="0.15">
      <c r="A739" s="4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30" customHeight="1" x14ac:dyDescent="0.15">
      <c r="A740" s="4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30" customHeight="1" x14ac:dyDescent="0.15">
      <c r="A741" s="4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30" customHeight="1" x14ac:dyDescent="0.15">
      <c r="A742" s="4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30" customHeight="1" x14ac:dyDescent="0.15">
      <c r="A743" s="4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30" customHeight="1" x14ac:dyDescent="0.15">
      <c r="A744" s="4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30" customHeight="1" x14ac:dyDescent="0.15">
      <c r="A745" s="4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30" customHeight="1" x14ac:dyDescent="0.15">
      <c r="A746" s="4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30" customHeight="1" x14ac:dyDescent="0.15">
      <c r="A747" s="4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30" customHeight="1" x14ac:dyDescent="0.15">
      <c r="A748" s="4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30" customHeight="1" x14ac:dyDescent="0.15">
      <c r="A749" s="4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30" customHeight="1" x14ac:dyDescent="0.15">
      <c r="A750" s="4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30" customHeight="1" x14ac:dyDescent="0.15">
      <c r="A751" s="4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30" customHeight="1" x14ac:dyDescent="0.15">
      <c r="A752" s="4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30" customHeight="1" x14ac:dyDescent="0.15">
      <c r="A753" s="4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30" customHeight="1" x14ac:dyDescent="0.15">
      <c r="A754" s="4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30" customHeight="1" x14ac:dyDescent="0.15">
      <c r="A755" s="4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30" customHeight="1" x14ac:dyDescent="0.15">
      <c r="A756" s="4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30" customHeight="1" x14ac:dyDescent="0.15">
      <c r="A757" s="4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30" customHeight="1" x14ac:dyDescent="0.15">
      <c r="A758" s="4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30" customHeight="1" x14ac:dyDescent="0.15">
      <c r="A759" s="4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30" customHeight="1" x14ac:dyDescent="0.15">
      <c r="A760" s="4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30" customHeight="1" x14ac:dyDescent="0.15">
      <c r="A761" s="4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30" customHeight="1" x14ac:dyDescent="0.15">
      <c r="A762" s="4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30" customHeight="1" x14ac:dyDescent="0.15">
      <c r="A763" s="4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30" customHeight="1" x14ac:dyDescent="0.15">
      <c r="A764" s="4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30" customHeight="1" x14ac:dyDescent="0.15">
      <c r="A765" s="4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30" customHeight="1" x14ac:dyDescent="0.15">
      <c r="A766" s="4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30" customHeight="1" x14ac:dyDescent="0.15">
      <c r="A767" s="4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30" customHeight="1" x14ac:dyDescent="0.15">
      <c r="A768" s="4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30" customHeight="1" x14ac:dyDescent="0.15">
      <c r="A769" s="4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30" customHeight="1" x14ac:dyDescent="0.15">
      <c r="A770" s="4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30" customHeight="1" x14ac:dyDescent="0.15">
      <c r="A771" s="4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30" customHeight="1" x14ac:dyDescent="0.15">
      <c r="A772" s="4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30" customHeight="1" x14ac:dyDescent="0.15">
      <c r="A773" s="4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30" customHeight="1" x14ac:dyDescent="0.15">
      <c r="A774" s="4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30" customHeight="1" x14ac:dyDescent="0.15">
      <c r="A775" s="4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30" customHeight="1" x14ac:dyDescent="0.15">
      <c r="A776" s="4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30" customHeight="1" x14ac:dyDescent="0.15">
      <c r="A777" s="4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30" customHeight="1" x14ac:dyDescent="0.15">
      <c r="A778" s="4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30" customHeight="1" x14ac:dyDescent="0.15">
      <c r="A779" s="4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30" customHeight="1" x14ac:dyDescent="0.15">
      <c r="A780" s="4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30" customHeight="1" x14ac:dyDescent="0.15">
      <c r="A781" s="4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30" customHeight="1" x14ac:dyDescent="0.15">
      <c r="A782" s="4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30" customHeight="1" x14ac:dyDescent="0.15">
      <c r="A783" s="4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30" customHeight="1" x14ac:dyDescent="0.15">
      <c r="A784" s="4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30" customHeight="1" x14ac:dyDescent="0.15">
      <c r="A785" s="4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30" customHeight="1" x14ac:dyDescent="0.15">
      <c r="A786" s="4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30" customHeight="1" x14ac:dyDescent="0.15">
      <c r="A787" s="4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30" customHeight="1" x14ac:dyDescent="0.15">
      <c r="A788" s="4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30" customHeight="1" x14ac:dyDescent="0.15">
      <c r="A789" s="4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30" customHeight="1" x14ac:dyDescent="0.15">
      <c r="A790" s="4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30" customHeight="1" x14ac:dyDescent="0.15">
      <c r="A791" s="4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30" customHeight="1" x14ac:dyDescent="0.15">
      <c r="A792" s="4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30" customHeight="1" x14ac:dyDescent="0.15">
      <c r="A793" s="4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30" customHeight="1" x14ac:dyDescent="0.15">
      <c r="A794" s="4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30" customHeight="1" x14ac:dyDescent="0.15">
      <c r="A795" s="4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30" customHeight="1" x14ac:dyDescent="0.15">
      <c r="A796" s="4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30" customHeight="1" x14ac:dyDescent="0.15">
      <c r="A797" s="4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30" customHeight="1" x14ac:dyDescent="0.15">
      <c r="A798" s="4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30" customHeight="1" x14ac:dyDescent="0.15">
      <c r="A799" s="4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30" customHeight="1" x14ac:dyDescent="0.15">
      <c r="A800" s="4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30" customHeight="1" x14ac:dyDescent="0.15">
      <c r="A801" s="4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30" customHeight="1" x14ac:dyDescent="0.15">
      <c r="A802" s="4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30" customHeight="1" x14ac:dyDescent="0.15">
      <c r="A803" s="4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30" customHeight="1" x14ac:dyDescent="0.15">
      <c r="A804" s="4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30" customHeight="1" x14ac:dyDescent="0.15">
      <c r="A805" s="4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30" customHeight="1" x14ac:dyDescent="0.15">
      <c r="A806" s="4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30" customHeight="1" x14ac:dyDescent="0.15">
      <c r="A807" s="4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30" customHeight="1" x14ac:dyDescent="0.15">
      <c r="A808" s="4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30" customHeight="1" x14ac:dyDescent="0.15">
      <c r="A809" s="4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30" customHeight="1" x14ac:dyDescent="0.15">
      <c r="A810" s="4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30" customHeight="1" x14ac:dyDescent="0.15">
      <c r="A811" s="4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30" customHeight="1" x14ac:dyDescent="0.15">
      <c r="A812" s="4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30" customHeight="1" x14ac:dyDescent="0.15">
      <c r="A813" s="4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30" customHeight="1" x14ac:dyDescent="0.15">
      <c r="A814" s="4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30" customHeight="1" x14ac:dyDescent="0.15">
      <c r="A815" s="4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30" customHeight="1" x14ac:dyDescent="0.15">
      <c r="A816" s="4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30" customHeight="1" x14ac:dyDescent="0.15">
      <c r="A817" s="4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30" customHeight="1" x14ac:dyDescent="0.15">
      <c r="A818" s="4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30" customHeight="1" x14ac:dyDescent="0.15">
      <c r="A819" s="4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30" customHeight="1" x14ac:dyDescent="0.15">
      <c r="A820" s="4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30" customHeight="1" x14ac:dyDescent="0.15">
      <c r="A821" s="4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30" customHeight="1" x14ac:dyDescent="0.15">
      <c r="A822" s="4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30" customHeight="1" x14ac:dyDescent="0.15">
      <c r="A823" s="4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30" customHeight="1" x14ac:dyDescent="0.15">
      <c r="A824" s="4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30" customHeight="1" x14ac:dyDescent="0.15">
      <c r="A825" s="4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30" customHeight="1" x14ac:dyDescent="0.15">
      <c r="A826" s="4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30" customHeight="1" x14ac:dyDescent="0.15">
      <c r="A827" s="4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30" customHeight="1" x14ac:dyDescent="0.15">
      <c r="A828" s="4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30" customHeight="1" x14ac:dyDescent="0.15">
      <c r="A829" s="4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30" customHeight="1" x14ac:dyDescent="0.15">
      <c r="A830" s="4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30" customHeight="1" x14ac:dyDescent="0.15">
      <c r="A831" s="4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30" customHeight="1" x14ac:dyDescent="0.15">
      <c r="A832" s="4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30" customHeight="1" x14ac:dyDescent="0.15">
      <c r="A833" s="4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30" customHeight="1" x14ac:dyDescent="0.15">
      <c r="A834" s="4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30" customHeight="1" x14ac:dyDescent="0.15">
      <c r="A835" s="4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30" customHeight="1" x14ac:dyDescent="0.15">
      <c r="A836" s="4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30" customHeight="1" x14ac:dyDescent="0.15">
      <c r="A837" s="4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30" customHeight="1" x14ac:dyDescent="0.15">
      <c r="A838" s="4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30" customHeight="1" x14ac:dyDescent="0.15">
      <c r="A839" s="4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30" customHeight="1" x14ac:dyDescent="0.15">
      <c r="A840" s="4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30" customHeight="1" x14ac:dyDescent="0.15">
      <c r="A841" s="4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30" customHeight="1" x14ac:dyDescent="0.15">
      <c r="A842" s="4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30" customHeight="1" x14ac:dyDescent="0.15">
      <c r="A843" s="4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30" customHeight="1" x14ac:dyDescent="0.15">
      <c r="A844" s="4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30" customHeight="1" x14ac:dyDescent="0.15">
      <c r="A845" s="4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30" customHeight="1" x14ac:dyDescent="0.15">
      <c r="A846" s="4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30" customHeight="1" x14ac:dyDescent="0.15">
      <c r="A847" s="4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30" customHeight="1" x14ac:dyDescent="0.15">
      <c r="A848" s="4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30" customHeight="1" x14ac:dyDescent="0.15">
      <c r="A849" s="4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30" customHeight="1" x14ac:dyDescent="0.15">
      <c r="A850" s="4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30" customHeight="1" x14ac:dyDescent="0.15">
      <c r="A851" s="4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30" customHeight="1" x14ac:dyDescent="0.15">
      <c r="A852" s="4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30" customHeight="1" x14ac:dyDescent="0.15">
      <c r="A853" s="4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30" customHeight="1" x14ac:dyDescent="0.15">
      <c r="A854" s="4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30" customHeight="1" x14ac:dyDescent="0.15">
      <c r="A855" s="4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30" customHeight="1" x14ac:dyDescent="0.15">
      <c r="A856" s="4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30" customHeight="1" x14ac:dyDescent="0.15">
      <c r="A857" s="4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30" customHeight="1" x14ac:dyDescent="0.15">
      <c r="A858" s="4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30" customHeight="1" x14ac:dyDescent="0.15">
      <c r="A859" s="4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30" customHeight="1" x14ac:dyDescent="0.15">
      <c r="A860" s="4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30" customHeight="1" x14ac:dyDescent="0.15">
      <c r="A861" s="4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30" customHeight="1" x14ac:dyDescent="0.15">
      <c r="A862" s="4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30" customHeight="1" x14ac:dyDescent="0.15">
      <c r="A863" s="4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30" customHeight="1" x14ac:dyDescent="0.15">
      <c r="A864" s="4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30" customHeight="1" x14ac:dyDescent="0.15">
      <c r="A865" s="4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30" customHeight="1" x14ac:dyDescent="0.15">
      <c r="A866" s="4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30" customHeight="1" x14ac:dyDescent="0.15">
      <c r="A867" s="4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30" customHeight="1" x14ac:dyDescent="0.15">
      <c r="A868" s="4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30" customHeight="1" x14ac:dyDescent="0.15">
      <c r="A869" s="4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30" customHeight="1" x14ac:dyDescent="0.15">
      <c r="A870" s="4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30" customHeight="1" x14ac:dyDescent="0.15">
      <c r="A871" s="4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30" customHeight="1" x14ac:dyDescent="0.15">
      <c r="A872" s="4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30" customHeight="1" x14ac:dyDescent="0.15">
      <c r="A873" s="4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30" customHeight="1" x14ac:dyDescent="0.15">
      <c r="A874" s="4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30" customHeight="1" x14ac:dyDescent="0.15">
      <c r="A875" s="4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30" customHeight="1" x14ac:dyDescent="0.15">
      <c r="A876" s="4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30" customHeight="1" x14ac:dyDescent="0.15">
      <c r="A877" s="4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30" customHeight="1" x14ac:dyDescent="0.15">
      <c r="A878" s="4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30" customHeight="1" x14ac:dyDescent="0.15">
      <c r="A879" s="4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30" customHeight="1" x14ac:dyDescent="0.15">
      <c r="A880" s="4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30" customHeight="1" x14ac:dyDescent="0.15">
      <c r="A881" s="4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30" customHeight="1" x14ac:dyDescent="0.15">
      <c r="A882" s="4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30" customHeight="1" x14ac:dyDescent="0.15">
      <c r="A883" s="4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30" customHeight="1" x14ac:dyDescent="0.15">
      <c r="A884" s="4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30" customHeight="1" x14ac:dyDescent="0.15">
      <c r="A885" s="4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30" customHeight="1" x14ac:dyDescent="0.15">
      <c r="A886" s="4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30" customHeight="1" x14ac:dyDescent="0.15">
      <c r="A887" s="4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30" customHeight="1" x14ac:dyDescent="0.15">
      <c r="A888" s="4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30" customHeight="1" x14ac:dyDescent="0.15">
      <c r="A889" s="4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30" customHeight="1" x14ac:dyDescent="0.15">
      <c r="A890" s="4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30" customHeight="1" x14ac:dyDescent="0.15">
      <c r="A891" s="4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30" customHeight="1" x14ac:dyDescent="0.15">
      <c r="A892" s="4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30" customHeight="1" x14ac:dyDescent="0.15">
      <c r="A893" s="4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30" customHeight="1" x14ac:dyDescent="0.15">
      <c r="A894" s="4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30" customHeight="1" x14ac:dyDescent="0.15">
      <c r="A895" s="4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30" customHeight="1" x14ac:dyDescent="0.15">
      <c r="A896" s="4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30" customHeight="1" x14ac:dyDescent="0.15">
      <c r="A897" s="4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30" customHeight="1" x14ac:dyDescent="0.15">
      <c r="A898" s="4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30" customHeight="1" x14ac:dyDescent="0.15">
      <c r="A899" s="4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30" customHeight="1" x14ac:dyDescent="0.15">
      <c r="A900" s="4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30" customHeight="1" x14ac:dyDescent="0.15">
      <c r="A901" s="4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30" customHeight="1" x14ac:dyDescent="0.15">
      <c r="A902" s="4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30" customHeight="1" x14ac:dyDescent="0.15">
      <c r="A903" s="4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30" customHeight="1" x14ac:dyDescent="0.15">
      <c r="A904" s="4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30" customHeight="1" x14ac:dyDescent="0.15">
      <c r="A905" s="4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30" customHeight="1" x14ac:dyDescent="0.15">
      <c r="A906" s="4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30" customHeight="1" x14ac:dyDescent="0.15">
      <c r="A907" s="4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30" customHeight="1" x14ac:dyDescent="0.15">
      <c r="A908" s="4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30" customHeight="1" x14ac:dyDescent="0.15">
      <c r="A909" s="4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30" customHeight="1" x14ac:dyDescent="0.15">
      <c r="A910" s="4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30" customHeight="1" x14ac:dyDescent="0.15">
      <c r="A911" s="4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30" customHeight="1" x14ac:dyDescent="0.15">
      <c r="A912" s="4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30" customHeight="1" x14ac:dyDescent="0.15">
      <c r="A913" s="4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30" customHeight="1" x14ac:dyDescent="0.15">
      <c r="A914" s="4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30" customHeight="1" x14ac:dyDescent="0.15">
      <c r="A915" s="4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30" customHeight="1" x14ac:dyDescent="0.15">
      <c r="A916" s="4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30" customHeight="1" x14ac:dyDescent="0.15">
      <c r="A917" s="4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30" customHeight="1" x14ac:dyDescent="0.15">
      <c r="A918" s="4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30" customHeight="1" x14ac:dyDescent="0.15">
      <c r="A919" s="4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30" customHeight="1" x14ac:dyDescent="0.15">
      <c r="A920" s="4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30" customHeight="1" x14ac:dyDescent="0.15">
      <c r="A921" s="4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30" customHeight="1" x14ac:dyDescent="0.15">
      <c r="A922" s="4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30" customHeight="1" x14ac:dyDescent="0.15">
      <c r="A923" s="4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30" customHeight="1" x14ac:dyDescent="0.15">
      <c r="A924" s="4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30" customHeight="1" x14ac:dyDescent="0.15">
      <c r="A925" s="4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30" customHeight="1" x14ac:dyDescent="0.15">
      <c r="A926" s="4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30" customHeight="1" x14ac:dyDescent="0.15">
      <c r="A927" s="4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30" customHeight="1" x14ac:dyDescent="0.15">
      <c r="A928" s="4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30" customHeight="1" x14ac:dyDescent="0.15">
      <c r="A929" s="4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30" customHeight="1" x14ac:dyDescent="0.15">
      <c r="A930" s="4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30" customHeight="1" x14ac:dyDescent="0.15">
      <c r="A931" s="4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30" customHeight="1" x14ac:dyDescent="0.15">
      <c r="A932" s="4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30" customHeight="1" x14ac:dyDescent="0.15">
      <c r="A933" s="4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30" customHeight="1" x14ac:dyDescent="0.15">
      <c r="A934" s="4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30" customHeight="1" x14ac:dyDescent="0.15">
      <c r="A935" s="4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30" customHeight="1" x14ac:dyDescent="0.15">
      <c r="A936" s="4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30" customHeight="1" x14ac:dyDescent="0.15">
      <c r="A937" s="4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30" customHeight="1" x14ac:dyDescent="0.15">
      <c r="A938" s="4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30" customHeight="1" x14ac:dyDescent="0.15">
      <c r="A939" s="4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30" customHeight="1" x14ac:dyDescent="0.15">
      <c r="A940" s="4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30" customHeight="1" x14ac:dyDescent="0.15">
      <c r="A941" s="4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30" customHeight="1" x14ac:dyDescent="0.15">
      <c r="A942" s="4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30" customHeight="1" x14ac:dyDescent="0.15">
      <c r="A943" s="4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30" customHeight="1" x14ac:dyDescent="0.15">
      <c r="A944" s="4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30" customHeight="1" x14ac:dyDescent="0.15">
      <c r="A945" s="4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30" customHeight="1" x14ac:dyDescent="0.15">
      <c r="A946" s="4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30" customHeight="1" x14ac:dyDescent="0.15">
      <c r="A947" s="4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30" customHeight="1" x14ac:dyDescent="0.15">
      <c r="A948" s="4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30" customHeight="1" x14ac:dyDescent="0.15">
      <c r="A949" s="4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30" customHeight="1" x14ac:dyDescent="0.15">
      <c r="A950" s="4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30" customHeight="1" x14ac:dyDescent="0.15">
      <c r="A951" s="4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30" customHeight="1" x14ac:dyDescent="0.15">
      <c r="A952" s="4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30" customHeight="1" x14ac:dyDescent="0.15">
      <c r="A953" s="4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30" customHeight="1" x14ac:dyDescent="0.15">
      <c r="A954" s="4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30" customHeight="1" x14ac:dyDescent="0.15">
      <c r="A955" s="4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30" customHeight="1" x14ac:dyDescent="0.15">
      <c r="A956" s="4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30" customHeight="1" x14ac:dyDescent="0.15">
      <c r="A957" s="4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30" customHeight="1" x14ac:dyDescent="0.15">
      <c r="A958" s="4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30" customHeight="1" x14ac:dyDescent="0.15">
      <c r="A959" s="4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30" customHeight="1" x14ac:dyDescent="0.15">
      <c r="A960" s="4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30" customHeight="1" x14ac:dyDescent="0.15">
      <c r="A961" s="4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30" customHeight="1" x14ac:dyDescent="0.15">
      <c r="A962" s="4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30" customHeight="1" x14ac:dyDescent="0.15">
      <c r="A963" s="4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30" customHeight="1" x14ac:dyDescent="0.15">
      <c r="A964" s="4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30" customHeight="1" x14ac:dyDescent="0.15">
      <c r="A965" s="4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30" customHeight="1" x14ac:dyDescent="0.15">
      <c r="A966" s="4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30" customHeight="1" x14ac:dyDescent="0.15">
      <c r="A967" s="4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30" customHeight="1" x14ac:dyDescent="0.15">
      <c r="A968" s="4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30" customHeight="1" x14ac:dyDescent="0.15">
      <c r="A969" s="4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30" customHeight="1" x14ac:dyDescent="0.15">
      <c r="A970" s="4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30" customHeight="1" x14ac:dyDescent="0.15">
      <c r="A971" s="4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30" customHeight="1" x14ac:dyDescent="0.15">
      <c r="A972" s="4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30" customHeight="1" x14ac:dyDescent="0.15">
      <c r="A973" s="4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30" customHeight="1" x14ac:dyDescent="0.15">
      <c r="A974" s="4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30" customHeight="1" x14ac:dyDescent="0.15">
      <c r="A975" s="4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30" customHeight="1" x14ac:dyDescent="0.15">
      <c r="A976" s="4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30" customHeight="1" x14ac:dyDescent="0.15">
      <c r="A977" s="4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30" customHeight="1" x14ac:dyDescent="0.15">
      <c r="A978" s="4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30" customHeight="1" x14ac:dyDescent="0.15">
      <c r="A979" s="4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30" customHeight="1" x14ac:dyDescent="0.15">
      <c r="A980" s="4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30" customHeight="1" x14ac:dyDescent="0.15">
      <c r="A981" s="4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30" customHeight="1" x14ac:dyDescent="0.15">
      <c r="A982" s="4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30" customHeight="1" x14ac:dyDescent="0.15">
      <c r="A983" s="4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30" customHeight="1" x14ac:dyDescent="0.15">
      <c r="A984" s="4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30" customHeight="1" x14ac:dyDescent="0.15">
      <c r="A985" s="4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30" customHeight="1" x14ac:dyDescent="0.15">
      <c r="A986" s="4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30" customHeight="1" x14ac:dyDescent="0.15">
      <c r="A987" s="4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30" customHeight="1" x14ac:dyDescent="0.15">
      <c r="A988" s="4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30" customHeight="1" x14ac:dyDescent="0.15">
      <c r="A989" s="4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30" customHeight="1" x14ac:dyDescent="0.15">
      <c r="A990" s="4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30" customHeight="1" x14ac:dyDescent="0.15">
      <c r="A991" s="4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30" customHeight="1" x14ac:dyDescent="0.15">
      <c r="A992" s="4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30" customHeight="1" x14ac:dyDescent="0.15">
      <c r="A993" s="4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mergeCells count="24">
    <mergeCell ref="B33:E33"/>
    <mergeCell ref="B34:F34"/>
    <mergeCell ref="B22:E22"/>
    <mergeCell ref="B26:E26"/>
    <mergeCell ref="B27:E27"/>
    <mergeCell ref="B28:E28"/>
    <mergeCell ref="B29:E29"/>
    <mergeCell ref="B30:E30"/>
    <mergeCell ref="B31:E31"/>
    <mergeCell ref="B15:E15"/>
    <mergeCell ref="B19:E19"/>
    <mergeCell ref="B20:E20"/>
    <mergeCell ref="B21:E21"/>
    <mergeCell ref="B32:E32"/>
    <mergeCell ref="B10:E10"/>
    <mergeCell ref="B11:E11"/>
    <mergeCell ref="B12:E12"/>
    <mergeCell ref="B13:E13"/>
    <mergeCell ref="B14:E14"/>
    <mergeCell ref="B2:E2"/>
    <mergeCell ref="B4:B5"/>
    <mergeCell ref="C5:D5"/>
    <mergeCell ref="B8:E8"/>
    <mergeCell ref="B9:E9"/>
  </mergeCells>
  <printOptions horizontalCentered="1"/>
  <pageMargins left="0.25" right="0.25" top="0.75" bottom="0.75" header="0" footer="0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53D64"/>
    <pageSetUpPr fitToPage="1"/>
  </sheetPr>
  <dimension ref="A1:Z1004"/>
  <sheetViews>
    <sheetView showGridLines="0" workbookViewId="0">
      <selection activeCell="I15" sqref="I15"/>
    </sheetView>
  </sheetViews>
  <sheetFormatPr baseColWidth="10" defaultColWidth="12.6640625" defaultRowHeight="15" customHeight="1" x14ac:dyDescent="0.15"/>
  <cols>
    <col min="1" max="1" width="2.83203125" customWidth="1"/>
    <col min="2" max="2" width="30.83203125" customWidth="1"/>
    <col min="3" max="4" width="15.83203125" customWidth="1"/>
    <col min="5" max="6" width="25.83203125" customWidth="1"/>
    <col min="7" max="7" width="20.83203125" customWidth="1"/>
    <col min="8" max="8" width="2.83203125" customWidth="1"/>
    <col min="9" max="9" width="9.1640625" customWidth="1"/>
    <col min="10" max="10" width="20.1640625" customWidth="1"/>
    <col min="11" max="11" width="10.5" customWidth="1"/>
    <col min="12" max="26" width="9.1640625" customWidth="1"/>
  </cols>
  <sheetData>
    <row r="1" spans="1:26" ht="19.5" customHeight="1" x14ac:dyDescent="0.15">
      <c r="A1" s="78">
        <v>22</v>
      </c>
      <c r="B1" s="2"/>
      <c r="C1" s="2"/>
      <c r="D1" s="2"/>
      <c r="E1" s="2"/>
      <c r="F1" s="2"/>
      <c r="G1" s="2"/>
      <c r="H1" s="2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79.5" customHeight="1" x14ac:dyDescent="0.6">
      <c r="A2" s="46"/>
      <c r="B2" s="124" t="str">
        <f>Expenses!B2</f>
        <v>Theatre Production AY2526</v>
      </c>
      <c r="C2" s="104"/>
      <c r="D2" s="104"/>
      <c r="E2" s="105"/>
      <c r="F2" s="47"/>
      <c r="G2" s="79" t="s">
        <v>63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" customHeight="1" x14ac:dyDescent="0.6">
      <c r="A3" s="46"/>
      <c r="B3" s="49"/>
      <c r="C3" s="49"/>
      <c r="D3" s="15"/>
      <c r="E3" s="15"/>
      <c r="F3" s="47"/>
      <c r="G3" s="5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" customHeight="1" x14ac:dyDescent="0.15">
      <c r="A4" s="46"/>
      <c r="B4" s="125" t="s">
        <v>64</v>
      </c>
      <c r="C4" s="80" t="str">
        <f>Expenses!C4</f>
        <v>As of 01/06/2026</v>
      </c>
      <c r="D4" s="81"/>
      <c r="E4" s="81"/>
      <c r="F4" s="82"/>
      <c r="G4" s="8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 customHeight="1" x14ac:dyDescent="0.15">
      <c r="A5" s="84"/>
      <c r="B5" s="126"/>
      <c r="C5" s="127" t="str">
        <f>Expenses!C5</f>
        <v>Order Tracking</v>
      </c>
      <c r="D5" s="128"/>
      <c r="E5" s="85"/>
      <c r="F5" s="85"/>
      <c r="G5" s="86"/>
      <c r="H5" s="2"/>
      <c r="I5" s="45"/>
      <c r="J5" s="2" t="s">
        <v>65</v>
      </c>
      <c r="K5" s="73">
        <f>SUM(D8,D12)</f>
        <v>24311.25</v>
      </c>
      <c r="L5" s="45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 customHeight="1" x14ac:dyDescent="0.15">
      <c r="A6" s="84"/>
      <c r="B6" s="87"/>
      <c r="C6" s="88"/>
      <c r="D6" s="89"/>
      <c r="E6" s="90"/>
      <c r="F6" s="90"/>
      <c r="G6" s="90"/>
      <c r="H6" s="2"/>
      <c r="I6" s="2"/>
      <c r="J6" s="2" t="s">
        <v>66</v>
      </c>
      <c r="K6" s="91">
        <f ca="1">-SUM(D9:D11, D13)</f>
        <v>17684.199999999997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customHeight="1" x14ac:dyDescent="0.15">
      <c r="A7" s="51"/>
      <c r="B7" s="92" t="s">
        <v>67</v>
      </c>
      <c r="C7" s="93"/>
      <c r="D7" s="93" t="s">
        <v>5</v>
      </c>
      <c r="E7" s="90"/>
      <c r="F7" s="90"/>
      <c r="G7" s="90"/>
      <c r="H7" s="2"/>
      <c r="I7" s="2"/>
      <c r="J7" s="2" t="s">
        <v>68</v>
      </c>
      <c r="K7" s="2">
        <f ca="1">IF(K6 &gt; 0, MIN(K6, K5), 0)</f>
        <v>17684.199999999997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customHeight="1" x14ac:dyDescent="0.15">
      <c r="A8" s="46"/>
      <c r="B8" s="94" t="s">
        <v>69</v>
      </c>
      <c r="C8" s="95"/>
      <c r="D8" s="95">
        <v>17616.47</v>
      </c>
      <c r="E8" s="90"/>
      <c r="F8" s="90"/>
      <c r="G8" s="90"/>
      <c r="H8" s="2"/>
      <c r="I8" s="2"/>
      <c r="J8" s="2" t="s">
        <v>70</v>
      </c>
      <c r="K8" s="2">
        <f ca="1">IF(K5 &gt; K6, K5 - K6, 0)</f>
        <v>6627.0500000000029</v>
      </c>
      <c r="L8" s="2"/>
      <c r="M8" s="4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 customHeight="1" x14ac:dyDescent="0.15">
      <c r="A9" s="46"/>
      <c r="B9" s="94" t="s">
        <v>71</v>
      </c>
      <c r="C9" s="95"/>
      <c r="D9" s="95">
        <f>SUM(Expenses!F15,Expenses!L15,Expenses!F59,Expenses!L59)*-1</f>
        <v>-13489.789999999997</v>
      </c>
      <c r="E9" s="90"/>
      <c r="F9" s="90"/>
      <c r="G9" s="9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 customHeight="1" x14ac:dyDescent="0.15">
      <c r="A10" s="46"/>
      <c r="B10" s="94" t="s">
        <v>72</v>
      </c>
      <c r="C10" s="96"/>
      <c r="D10" s="95">
        <f>SUM(Expenses!E15,Expenses!K15,Expenses!E59,Expenses!K59)*-1</f>
        <v>-1132.76</v>
      </c>
      <c r="E10" s="90"/>
      <c r="F10" s="90"/>
      <c r="G10" s="9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customHeight="1" x14ac:dyDescent="0.15">
      <c r="A11" s="46"/>
      <c r="B11" s="97" t="s">
        <v>73</v>
      </c>
      <c r="C11" s="96"/>
      <c r="D11" s="96">
        <f ca="1">SUM(Expenses!D15,Expenses!J15,Expenses!D59,Expenses!J59)*-1</f>
        <v>-1061.6500000000001</v>
      </c>
      <c r="E11" s="90"/>
      <c r="F11" s="90"/>
      <c r="G11" s="9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15">
      <c r="A12" s="46"/>
      <c r="B12" s="97" t="s">
        <v>74</v>
      </c>
      <c r="C12" s="96"/>
      <c r="D12" s="96">
        <f>Income!G5</f>
        <v>6694.7800000000007</v>
      </c>
      <c r="E12" s="90"/>
      <c r="F12" s="90"/>
      <c r="G12" s="9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15">
      <c r="A13" s="46"/>
      <c r="B13" s="98" t="s">
        <v>75</v>
      </c>
      <c r="C13" s="96"/>
      <c r="D13" s="99">
        <v>-2000</v>
      </c>
      <c r="E13" s="90"/>
      <c r="F13" s="90"/>
      <c r="G13" s="9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15">
      <c r="A14" s="51"/>
      <c r="B14" s="100" t="s">
        <v>76</v>
      </c>
      <c r="C14" s="101"/>
      <c r="D14" s="101">
        <f ca="1">SUM(D8:D13)</f>
        <v>6627.0500000000047</v>
      </c>
      <c r="E14" s="90"/>
      <c r="F14" s="90"/>
      <c r="G14" s="9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 x14ac:dyDescent="0.15">
      <c r="A15" s="46"/>
      <c r="B15" s="17"/>
      <c r="C15" s="17"/>
      <c r="D15" s="17"/>
      <c r="E15" s="90"/>
      <c r="F15" s="90"/>
      <c r="G15" s="9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15">
      <c r="A16" s="46"/>
      <c r="B16" s="17"/>
      <c r="C16" s="17"/>
      <c r="D16" s="17"/>
      <c r="E16" s="90"/>
      <c r="F16" s="90"/>
      <c r="G16" s="9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 x14ac:dyDescent="0.15">
      <c r="A17" s="46"/>
      <c r="B17" s="2"/>
      <c r="C17" s="2"/>
      <c r="D17" s="2"/>
      <c r="E17" s="102"/>
      <c r="F17" s="102"/>
      <c r="G17" s="10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15">
      <c r="A18" s="46"/>
      <c r="B18" s="2"/>
      <c r="C18" s="2"/>
      <c r="D18" s="2"/>
      <c r="E18" s="102"/>
      <c r="F18" s="102"/>
      <c r="G18" s="10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0" customHeight="1" x14ac:dyDescent="0.15">
      <c r="A19" s="4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0" customHeight="1" x14ac:dyDescent="0.15">
      <c r="A20" s="4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4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4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4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4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4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4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4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4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4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4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4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4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4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4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4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4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4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4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4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4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4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4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4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4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4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4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4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4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4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4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4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15">
      <c r="A52" s="4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15">
      <c r="A53" s="4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15">
      <c r="A54" s="4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4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4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4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4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4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4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4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4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4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4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4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4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15">
      <c r="A67" s="4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15">
      <c r="A68" s="4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15">
      <c r="A69" s="4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4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4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4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4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4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4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4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4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4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4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4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4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4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4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4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4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4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4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4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4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4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4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4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4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4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4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4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4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4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4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4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4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4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4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4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4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4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4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4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4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4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4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4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4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4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4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4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4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4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4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4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4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4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4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4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4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4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4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4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4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4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4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4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4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4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4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4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4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4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4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4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4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4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4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4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4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4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4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4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4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4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4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4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4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4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4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4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4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4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4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4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4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4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4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4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4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4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4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4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4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4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4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4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4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4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4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4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4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4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4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4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4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4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4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4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4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4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4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4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4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4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4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4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4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4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4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4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4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4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4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4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4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4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4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4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4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4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4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4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4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4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4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4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4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4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4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4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4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4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4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4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4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4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4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4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4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4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4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4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4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4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4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4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4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4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4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4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4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4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4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4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4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4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4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4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4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4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4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4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4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4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4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4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4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4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4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4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4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4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4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4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4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4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4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4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4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4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4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4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4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4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4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4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4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4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4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4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4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4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4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4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4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4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4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4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4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4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4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4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4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4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4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4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4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4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4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4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4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4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4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4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4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4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4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4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4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4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4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4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4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4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4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4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4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4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4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4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4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4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4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4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4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4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4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4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4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4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4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4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4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4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4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4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4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4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4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4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4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4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4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4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4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4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4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4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4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4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4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4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4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4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4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4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4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4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4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4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4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4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4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4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4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4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4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4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4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4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4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4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4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4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4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4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4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4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4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4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4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4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4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4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4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4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4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4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4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4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4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4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4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4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4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4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4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4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4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4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4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4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4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4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4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4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4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4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4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4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4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4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4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4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4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4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4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4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4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4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4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4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4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4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4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4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4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4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4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4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4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4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4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4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4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4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4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4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4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4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4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4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4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4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4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4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4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4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4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4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4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4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4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4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4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4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4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4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4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4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4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4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4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4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4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4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4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4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4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4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4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4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4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4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4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4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4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4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4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4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4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4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4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4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4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4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4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4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4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4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4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4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4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4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4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4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4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4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4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4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4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4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4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4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4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4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4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4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4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4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4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4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4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4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4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4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4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4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4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4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4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4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4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4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4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4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4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4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4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4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4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4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4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4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4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4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4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4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4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4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4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4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4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4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4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4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4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4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4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4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4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4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4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4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4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4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4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4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4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4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4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4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4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4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4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4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4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4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4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4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4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4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4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4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4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4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4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4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4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4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4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4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4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4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4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4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4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4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4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4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4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4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4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4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4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4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4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4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4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4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4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4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4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4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4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4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4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4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4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4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4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4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4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4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4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4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4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4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4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4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4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4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4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4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4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4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4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4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4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4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4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4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4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4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4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4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4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4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4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4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4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4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4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4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4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4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4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4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4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4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4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4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4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4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4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4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4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4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4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4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4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4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4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4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4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4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4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4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4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4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4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4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4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4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4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4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4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4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4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4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4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4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4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4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4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4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4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4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4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4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4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4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4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4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4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4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4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4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4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4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4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4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4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4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4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4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4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4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4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4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4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4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4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4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4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4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4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4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4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4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4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4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4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4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4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4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4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4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4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4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4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4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4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4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4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4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4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4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4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4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4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4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4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4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4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4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4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4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4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4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4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4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4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4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4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4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4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4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4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4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4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4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4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4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4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4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4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4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4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4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4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4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4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4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4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4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4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4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4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4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4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4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4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4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4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4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4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4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4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4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4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4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4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4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4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4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4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4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4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4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4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4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4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4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4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4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4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4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4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4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4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4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4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4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4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4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4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4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4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4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4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4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4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4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4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4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4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4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4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4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4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4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4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4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4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4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4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4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4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4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4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4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4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4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4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4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4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4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4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4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4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4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4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4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4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4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4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4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4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4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4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4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4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4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4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4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4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4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4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4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4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4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4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4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4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4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4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4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4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4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4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4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4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4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4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4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4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4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4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4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4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4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4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4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4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4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4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4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4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4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4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4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4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4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4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4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4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4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4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4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4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4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4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4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4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4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4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4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4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4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4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4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4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4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4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4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4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4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4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4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4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4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4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4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4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4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4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4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4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4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4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4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4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4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4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4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4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4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4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4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4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4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4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4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4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4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4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4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4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4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4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4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4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4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4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15">
      <c r="A962" s="4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15">
      <c r="A963" s="4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15">
      <c r="A964" s="4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15">
      <c r="A965" s="4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15">
      <c r="A966" s="4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15">
      <c r="A967" s="4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15">
      <c r="A968" s="4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15">
      <c r="A969" s="4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15">
      <c r="A970" s="4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15">
      <c r="A971" s="4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15">
      <c r="A972" s="4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15">
      <c r="A973" s="4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15">
      <c r="A974" s="4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15">
      <c r="A975" s="4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15">
      <c r="A976" s="4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15">
      <c r="A977" s="4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15">
      <c r="A978" s="4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15">
      <c r="A979" s="4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15">
      <c r="A980" s="4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15">
      <c r="A981" s="4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15">
      <c r="A982" s="4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15">
      <c r="A983" s="4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15">
      <c r="A984" s="4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15">
      <c r="A985" s="4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15">
      <c r="A986" s="4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15">
      <c r="A987" s="4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15">
      <c r="A988" s="4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15">
      <c r="A989" s="4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15">
      <c r="A990" s="4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15">
      <c r="A991" s="4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15">
      <c r="A992" s="4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15">
      <c r="A993" s="4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15">
      <c r="A994" s="4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15">
      <c r="A995" s="4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15">
      <c r="A996" s="4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15">
      <c r="A997" s="4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15">
      <c r="A998" s="4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15">
      <c r="A999" s="4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15">
      <c r="A1000" s="4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75" customHeight="1" x14ac:dyDescent="0.15">
      <c r="A1001" s="4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75" customHeight="1" x14ac:dyDescent="0.15">
      <c r="A1002" s="46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2.75" customHeight="1" x14ac:dyDescent="0.15">
      <c r="A1003" s="46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2.75" customHeight="1" x14ac:dyDescent="0.15">
      <c r="A1004" s="46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mergeCells count="3">
    <mergeCell ref="B2:E2"/>
    <mergeCell ref="B4:B5"/>
    <mergeCell ref="C5:D5"/>
  </mergeCells>
  <printOptions horizontalCentered="1"/>
  <pageMargins left="0.25" right="0.25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Expenses</vt:lpstr>
      <vt:lpstr>Income</vt:lpstr>
      <vt:lpstr>Budget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Lounello, Michael</cp:lastModifiedBy>
  <dcterms:modified xsi:type="dcterms:W3CDTF">2026-02-10T15:45:20Z</dcterms:modified>
</cp:coreProperties>
</file>