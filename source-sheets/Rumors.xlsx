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mikelounello/Downloads/"/>
    </mc:Choice>
  </mc:AlternateContent>
  <xr:revisionPtr revIDLastSave="0" documentId="13_ncr:1_{662FC06C-7716-E048-A6A7-013E398CA8E5}" xr6:coauthVersionLast="47" xr6:coauthVersionMax="47" xr10:uidLastSave="{00000000-0000-0000-0000-000000000000}"/>
  <bookViews>
    <workbookView xWindow="0" yWindow="760" windowWidth="30240" windowHeight="17920" xr2:uid="{00000000-000D-0000-FFFF-FFFF00000000}"/>
  </bookViews>
  <sheets>
    <sheet name="Expenses" sheetId="1" r:id="rId1"/>
    <sheet name="Credit Card Purchas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7" i="2" l="1"/>
  <c r="K47" i="2"/>
  <c r="J47" i="2"/>
  <c r="I47" i="2"/>
  <c r="H47" i="2"/>
  <c r="G47" i="2"/>
  <c r="F47" i="2"/>
  <c r="E47" i="2"/>
  <c r="D47" i="2"/>
  <c r="C47" i="2"/>
  <c r="B47" i="2"/>
  <c r="N47" i="2" s="1"/>
  <c r="K43" i="2"/>
  <c r="J43" i="2"/>
  <c r="I43" i="2"/>
  <c r="H43" i="2"/>
  <c r="G43" i="2"/>
  <c r="F43" i="2"/>
  <c r="E43" i="2"/>
  <c r="D43" i="2"/>
  <c r="C43" i="2"/>
  <c r="B43" i="2"/>
  <c r="N43" i="2" s="1"/>
  <c r="L28" i="2"/>
  <c r="K28" i="2"/>
  <c r="J28" i="2"/>
  <c r="I28" i="2"/>
  <c r="H28" i="2"/>
  <c r="G28" i="2"/>
  <c r="F28" i="2"/>
  <c r="E28" i="2"/>
  <c r="D28" i="2"/>
  <c r="C28" i="2"/>
  <c r="B28" i="2"/>
  <c r="N28" i="2" s="1"/>
  <c r="J14" i="2"/>
  <c r="I14" i="2"/>
  <c r="H14" i="2"/>
  <c r="G14" i="2"/>
  <c r="F14" i="2"/>
  <c r="E14" i="2"/>
  <c r="D14" i="2"/>
  <c r="C14" i="2"/>
  <c r="B14" i="2"/>
  <c r="N14" i="2" s="1"/>
  <c r="J11" i="2"/>
  <c r="I11" i="2"/>
  <c r="H11" i="2"/>
  <c r="G11" i="2"/>
  <c r="F11" i="2"/>
  <c r="E11" i="2"/>
  <c r="D11" i="2"/>
  <c r="C11" i="2"/>
  <c r="B11" i="2"/>
  <c r="D17" i="1" s="1"/>
  <c r="L88" i="1"/>
  <c r="J89" i="1" s="1"/>
  <c r="K88" i="1"/>
  <c r="J88" i="1"/>
  <c r="F88" i="1"/>
  <c r="E88" i="1"/>
  <c r="D86" i="1"/>
  <c r="D88" i="1" s="1"/>
  <c r="D89" i="1" s="1"/>
  <c r="F79" i="1"/>
  <c r="E79" i="1"/>
  <c r="D79" i="1"/>
  <c r="D80" i="1" s="1"/>
  <c r="L77" i="1"/>
  <c r="L72" i="1"/>
  <c r="K72" i="1"/>
  <c r="J72" i="1"/>
  <c r="J73" i="1" s="1"/>
  <c r="F72" i="1"/>
  <c r="E72" i="1"/>
  <c r="D45" i="1"/>
  <c r="D72" i="1" s="1"/>
  <c r="D73" i="1" s="1"/>
  <c r="L38" i="1"/>
  <c r="K38" i="1"/>
  <c r="J38" i="1"/>
  <c r="J39" i="1" s="1"/>
  <c r="F38" i="1"/>
  <c r="E38" i="1"/>
  <c r="D18" i="1"/>
  <c r="J15" i="1"/>
  <c r="I5" i="1"/>
  <c r="N11" i="2" l="1"/>
  <c r="P47" i="2" s="1"/>
  <c r="D25" i="1"/>
  <c r="D38" i="1" s="1"/>
  <c r="D39" i="1" s="1"/>
  <c r="L5" i="1" s="1"/>
</calcChain>
</file>

<file path=xl/sharedStrings.xml><?xml version="1.0" encoding="utf-8"?>
<sst xmlns="http://schemas.openxmlformats.org/spreadsheetml/2006/main" count="233" uniqueCount="132">
  <si>
    <t>T</t>
  </si>
  <si>
    <t xml:space="preserve"> </t>
  </si>
  <si>
    <t>Rumors</t>
  </si>
  <si>
    <t>EXPENSES</t>
  </si>
  <si>
    <t>TOTAL EXPENSES</t>
  </si>
  <si>
    <t>Estimated</t>
  </si>
  <si>
    <t>Actual</t>
  </si>
  <si>
    <t>Scenic</t>
  </si>
  <si>
    <t>REF #</t>
  </si>
  <si>
    <t>PENDING CC</t>
  </si>
  <si>
    <t>ENC</t>
  </si>
  <si>
    <t>YTD</t>
  </si>
  <si>
    <t>Costumes</t>
  </si>
  <si>
    <t>Curtis Lumber</t>
  </si>
  <si>
    <t>EP016349</t>
  </si>
  <si>
    <t>Amazon Business, Inc</t>
  </si>
  <si>
    <t>EP016879</t>
  </si>
  <si>
    <t>Grainger</t>
  </si>
  <si>
    <t>EP016576</t>
  </si>
  <si>
    <t>EP016994</t>
  </si>
  <si>
    <t>Lowes for Pro's</t>
  </si>
  <si>
    <t>EP016575</t>
  </si>
  <si>
    <t>EP017057</t>
  </si>
  <si>
    <t>EP016671</t>
  </si>
  <si>
    <t>EP017180</t>
  </si>
  <si>
    <t>Curtis Lumber (Return)</t>
  </si>
  <si>
    <t>EP017323</t>
  </si>
  <si>
    <t>EP016995</t>
  </si>
  <si>
    <t>Salvation Army (Reimbursement)</t>
  </si>
  <si>
    <t>EC000210</t>
  </si>
  <si>
    <t>EP016996</t>
  </si>
  <si>
    <t>EP017419</t>
  </si>
  <si>
    <t>EP017056</t>
  </si>
  <si>
    <t>Department AMEX (October)</t>
  </si>
  <si>
    <t>EC000111</t>
  </si>
  <si>
    <t>Sherwin Williams</t>
  </si>
  <si>
    <t>EP017155</t>
  </si>
  <si>
    <t>The Costumer</t>
  </si>
  <si>
    <t>EP017512</t>
  </si>
  <si>
    <t>The Costumer (Shipping)</t>
  </si>
  <si>
    <t>Purchasing AMEX (October)</t>
  </si>
  <si>
    <t>EC000352</t>
  </si>
  <si>
    <t>Department AMEX (November)</t>
  </si>
  <si>
    <t>EC000332</t>
  </si>
  <si>
    <t>Home Depot</t>
  </si>
  <si>
    <t>EP017382</t>
  </si>
  <si>
    <t>WB Mason Company</t>
  </si>
  <si>
    <t>EP017819</t>
  </si>
  <si>
    <t>EP017418</t>
  </si>
  <si>
    <t>Amazon Business, Inc (Return)</t>
  </si>
  <si>
    <t>EP017479</t>
  </si>
  <si>
    <t>EP017499</t>
  </si>
  <si>
    <t>-12.98?</t>
  </si>
  <si>
    <t>EP017561</t>
  </si>
  <si>
    <t>Conway Entertainment</t>
  </si>
  <si>
    <t>EP018102</t>
  </si>
  <si>
    <t>Purchasing AMEX (November)</t>
  </si>
  <si>
    <t>EC000363</t>
  </si>
  <si>
    <t>Best Cleaners</t>
  </si>
  <si>
    <t>EP018271</t>
  </si>
  <si>
    <t>EP017438</t>
  </si>
  <si>
    <t>EP017444</t>
  </si>
  <si>
    <t>EP017604</t>
  </si>
  <si>
    <t>EP017562</t>
  </si>
  <si>
    <t>EP017915</t>
  </si>
  <si>
    <t>Theatre Dept 1 AMEX (December)</t>
  </si>
  <si>
    <t>TOTALS</t>
  </si>
  <si>
    <t>ALL TOTAL</t>
  </si>
  <si>
    <t>Lighting</t>
  </si>
  <si>
    <t>Sound</t>
  </si>
  <si>
    <t>BMI Supply</t>
  </si>
  <si>
    <t>EP017425</t>
  </si>
  <si>
    <t>B &amp; H Foto &amp; Electronics Corp.</t>
  </si>
  <si>
    <t>EP018236</t>
  </si>
  <si>
    <t>BMI Supply (Shipping)</t>
  </si>
  <si>
    <t>EP017560</t>
  </si>
  <si>
    <t>Rights</t>
  </si>
  <si>
    <t>Miscellaneous</t>
  </si>
  <si>
    <t>Concord Theatrical (Rights)</t>
  </si>
  <si>
    <t>EP012471</t>
  </si>
  <si>
    <t>KCACTF Registration</t>
  </si>
  <si>
    <t>J0179555</t>
  </si>
  <si>
    <t>EP012472</t>
  </si>
  <si>
    <t>Concord Theatrical (Scripts)</t>
  </si>
  <si>
    <t>KCACTF Hotel</t>
  </si>
  <si>
    <t>EP016965</t>
  </si>
  <si>
    <t>Props</t>
  </si>
  <si>
    <t>EP017120</t>
  </si>
  <si>
    <t>EP017592</t>
  </si>
  <si>
    <t>11300 (Scenic)</t>
  </si>
  <si>
    <t>11301 (Lighting)</t>
  </si>
  <si>
    <t>11302 (Sound)</t>
  </si>
  <si>
    <t>11303 (Video)</t>
  </si>
  <si>
    <t>11304 (Props)</t>
  </si>
  <si>
    <t>11305 (Costumes)</t>
  </si>
  <si>
    <t>11306 (Music)</t>
  </si>
  <si>
    <t>11307 (Ticketing Supplies)</t>
  </si>
  <si>
    <t>11308 (Production Supplies)</t>
  </si>
  <si>
    <t>11220 (Lodging)</t>
  </si>
  <si>
    <t>11412 (Meals with Guests)</t>
  </si>
  <si>
    <t>EC000011 - October (Department)</t>
  </si>
  <si>
    <t>Waves SuperRack Performer</t>
  </si>
  <si>
    <t>Receipt for Home Depot</t>
  </si>
  <si>
    <t>Ollies Bargain Outlet</t>
  </si>
  <si>
    <t>Waves Ultimate - Annual</t>
  </si>
  <si>
    <t>Lumber for Fall Production</t>
  </si>
  <si>
    <t>Costume Supplies for Fall Production</t>
  </si>
  <si>
    <t>Totals:</t>
  </si>
  <si>
    <t>Monthly Total:</t>
  </si>
  <si>
    <t>EC000352 - October (Purchasing)</t>
  </si>
  <si>
    <t>Lowes Receipt - Scenic</t>
  </si>
  <si>
    <t>EC000332 - November (Department)</t>
  </si>
  <si>
    <t>Hobby Lobby Receipt - Costumes</t>
  </si>
  <si>
    <t>Michaels Receipt - Costumes</t>
  </si>
  <si>
    <t>Walmart Receipt - Costumes</t>
  </si>
  <si>
    <t>Burlington Receipt - Costumes</t>
  </si>
  <si>
    <t>DSW Receipt - Costumes</t>
  </si>
  <si>
    <t>Microtel Receipt - Lodging</t>
  </si>
  <si>
    <t>EC000363 - November (Purchasing)</t>
  </si>
  <si>
    <t>Homegoods Receipt - Props</t>
  </si>
  <si>
    <t>Lowes Receipt - Lighting</t>
  </si>
  <si>
    <t>Michaels Receipt - Scenic</t>
  </si>
  <si>
    <t>Home Depot  Receipt - Scenic</t>
  </si>
  <si>
    <t>Home Depot Receipt - Props</t>
  </si>
  <si>
    <t>Sherwing Williams Receipt - Scenic</t>
  </si>
  <si>
    <t>Walmart Receipt - Props</t>
  </si>
  <si>
    <t>Walmart Receipt - Scenic</t>
  </si>
  <si>
    <t>EC000654 - December (Theatre 1)</t>
  </si>
  <si>
    <t>Lowes Receipt - Black Paint</t>
  </si>
  <si>
    <t>Fall Total:</t>
  </si>
  <si>
    <t>Order Tracking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</si>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</sst>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8" formatCode="&quot;$&quot;#,##0.00_);[Red]\(&quot;$&quot;#,##0.00\)"/>
    <numFmt numFmtId="164" formatCode="&quot;$&quot;#,##0.00"/>
  </numFmts>
  <fonts count="23" x14ac:knownFonts="1">
    <font>
      <sz val="10"/>
      <color rgb="FF000000"/>
      <name val="Arial"/>
      <scheme val="minor"/>
    </font>
    <font>
      <sz val="8"/>
      <color rgb="FFFFFFFF"/>
      <name val="Century Gothic"/>
    </font>
    <font>
      <sz val="10"/>
      <color theme="1"/>
      <name val="Century Gothic"/>
    </font>
    <font>
      <sz val="8"/>
      <color theme="0"/>
      <name val="Century Gothic"/>
    </font>
    <font>
      <b/>
      <sz val="48"/>
      <color rgb="FF2D5E3C"/>
      <name val="Century Gothic"/>
    </font>
    <font>
      <sz val="10"/>
      <name val="Arial"/>
    </font>
    <font>
      <sz val="22"/>
      <color theme="4"/>
      <name val="Century Gothic"/>
    </font>
    <font>
      <sz val="20"/>
      <color rgb="FF2D5E3C"/>
      <name val="Century Gothic"/>
    </font>
    <font>
      <b/>
      <sz val="48"/>
      <color theme="9"/>
      <name val="Century Gothic"/>
    </font>
    <font>
      <sz val="20"/>
      <color theme="9"/>
      <name val="Century Gothic"/>
    </font>
    <font>
      <b/>
      <sz val="18"/>
      <color theme="1"/>
      <name val="Century Gothic"/>
    </font>
    <font>
      <sz val="12"/>
      <color theme="1"/>
      <name val="Century Gothic"/>
    </font>
    <font>
      <b/>
      <sz val="12"/>
      <color theme="1"/>
      <name val="Century Gothic"/>
    </font>
    <font>
      <sz val="9"/>
      <color theme="1"/>
      <name val="Century Gothic"/>
    </font>
    <font>
      <sz val="10"/>
      <color theme="1"/>
      <name val="Arial"/>
      <scheme val="minor"/>
    </font>
    <font>
      <b/>
      <i/>
      <sz val="12"/>
      <color theme="1"/>
      <name val="Century Gothic"/>
    </font>
    <font>
      <i/>
      <sz val="12"/>
      <color theme="1"/>
      <name val="Century Gothic"/>
    </font>
    <font>
      <b/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u/>
      <sz val="18"/>
      <color rgb="FF0000FF"/>
      <name val="Century Gothic"/>
      <family val="1"/>
    </font>
    <font>
      <sz val="10"/>
      <name val="Arial"/>
      <family val="2"/>
    </font>
    <font>
      <sz val="12"/>
      <color theme="1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A7D5B5"/>
        <bgColor rgb="FFA7D5B5"/>
      </patternFill>
    </fill>
    <fill>
      <patternFill patternType="solid">
        <fgColor rgb="FFD3EADA"/>
        <bgColor rgb="FFD3EADA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/>
      <diagonal/>
    </border>
    <border>
      <left/>
      <right/>
      <top style="thin">
        <color theme="9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theme="9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theme="9"/>
      </bottom>
      <diagonal/>
    </border>
    <border>
      <left/>
      <right/>
      <top style="thin">
        <color theme="9"/>
      </top>
      <bottom/>
      <diagonal/>
    </border>
    <border>
      <left/>
      <right/>
      <top style="thin">
        <color rgb="FF000000"/>
      </top>
      <bottom style="thin">
        <color theme="9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6" fillId="2" borderId="4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right"/>
    </xf>
    <xf numFmtId="0" fontId="8" fillId="2" borderId="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9" fillId="2" borderId="4" xfId="0" applyFont="1" applyFill="1" applyBorder="1" applyAlignment="1">
      <alignment horizontal="right" vertical="center"/>
    </xf>
    <xf numFmtId="0" fontId="11" fillId="4" borderId="6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right"/>
    </xf>
    <xf numFmtId="0" fontId="12" fillId="4" borderId="6" xfId="0" applyFont="1" applyFill="1" applyBorder="1" applyAlignment="1">
      <alignment horizontal="right" vertical="center"/>
    </xf>
    <xf numFmtId="0" fontId="2" fillId="0" borderId="0" xfId="0" applyFont="1" applyAlignment="1">
      <alignment horizontal="right"/>
    </xf>
    <xf numFmtId="0" fontId="13" fillId="4" borderId="6" xfId="0" applyFont="1" applyFill="1" applyBorder="1" applyAlignment="1">
      <alignment vertical="center"/>
    </xf>
    <xf numFmtId="8" fontId="11" fillId="4" borderId="6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2" fillId="2" borderId="4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right"/>
    </xf>
    <xf numFmtId="0" fontId="2" fillId="2" borderId="4" xfId="0" applyFont="1" applyFill="1" applyBorder="1"/>
    <xf numFmtId="0" fontId="12" fillId="3" borderId="9" xfId="0" applyFont="1" applyFill="1" applyBorder="1" applyAlignment="1">
      <alignment horizontal="left" vertical="center"/>
    </xf>
    <xf numFmtId="164" fontId="12" fillId="3" borderId="9" xfId="0" applyNumberFormat="1" applyFont="1" applyFill="1" applyBorder="1" applyAlignment="1">
      <alignment horizontal="right" vertical="center"/>
    </xf>
    <xf numFmtId="0" fontId="11" fillId="2" borderId="4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12" fillId="2" borderId="10" xfId="0" applyFont="1" applyFill="1" applyBorder="1" applyAlignment="1">
      <alignment horizontal="left" vertical="center"/>
    </xf>
    <xf numFmtId="8" fontId="12" fillId="2" borderId="10" xfId="0" applyNumberFormat="1" applyFont="1" applyFill="1" applyBorder="1" applyAlignment="1">
      <alignment horizontal="right" vertical="center"/>
    </xf>
    <xf numFmtId="164" fontId="12" fillId="2" borderId="10" xfId="0" applyNumberFormat="1" applyFont="1" applyFill="1" applyBorder="1" applyAlignment="1">
      <alignment horizontal="right" vertical="center"/>
    </xf>
    <xf numFmtId="0" fontId="12" fillId="2" borderId="11" xfId="0" applyFont="1" applyFill="1" applyBorder="1" applyAlignment="1">
      <alignment horizontal="left" vertical="center"/>
    </xf>
    <xf numFmtId="8" fontId="12" fillId="2" borderId="11" xfId="0" applyNumberFormat="1" applyFont="1" applyFill="1" applyBorder="1" applyAlignment="1">
      <alignment horizontal="right" vertical="center"/>
    </xf>
    <xf numFmtId="164" fontId="12" fillId="2" borderId="11" xfId="0" applyNumberFormat="1" applyFont="1" applyFill="1" applyBorder="1" applyAlignment="1">
      <alignment horizontal="right" vertical="center"/>
    </xf>
    <xf numFmtId="164" fontId="12" fillId="0" borderId="0" xfId="0" applyNumberFormat="1" applyFont="1" applyAlignment="1">
      <alignment horizontal="right" vertical="center"/>
    </xf>
    <xf numFmtId="0" fontId="12" fillId="2" borderId="12" xfId="0" applyFont="1" applyFill="1" applyBorder="1" applyAlignment="1">
      <alignment horizontal="left" vertical="center"/>
    </xf>
    <xf numFmtId="8" fontId="12" fillId="2" borderId="13" xfId="0" applyNumberFormat="1" applyFont="1" applyFill="1" applyBorder="1" applyAlignment="1">
      <alignment horizontal="right" vertical="center"/>
    </xf>
    <xf numFmtId="8" fontId="12" fillId="2" borderId="14" xfId="0" applyNumberFormat="1" applyFont="1" applyFill="1" applyBorder="1" applyAlignment="1">
      <alignment horizontal="right" vertical="center"/>
    </xf>
    <xf numFmtId="164" fontId="12" fillId="2" borderId="14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/>
    </xf>
    <xf numFmtId="8" fontId="12" fillId="2" borderId="15" xfId="0" applyNumberFormat="1" applyFont="1" applyFill="1" applyBorder="1" applyAlignment="1">
      <alignment horizontal="right" vertical="center"/>
    </xf>
    <xf numFmtId="164" fontId="12" fillId="2" borderId="16" xfId="0" applyNumberFormat="1" applyFont="1" applyFill="1" applyBorder="1" applyAlignment="1">
      <alignment horizontal="right" vertical="center"/>
    </xf>
    <xf numFmtId="8" fontId="12" fillId="2" borderId="16" xfId="0" applyNumberFormat="1" applyFont="1" applyFill="1" applyBorder="1" applyAlignment="1">
      <alignment horizontal="right" vertical="center"/>
    </xf>
    <xf numFmtId="0" fontId="11" fillId="2" borderId="3" xfId="0" applyFont="1" applyFill="1" applyBorder="1" applyAlignment="1">
      <alignment vertical="center"/>
    </xf>
    <xf numFmtId="0" fontId="11" fillId="2" borderId="11" xfId="0" applyFont="1" applyFill="1" applyBorder="1" applyAlignment="1">
      <alignment horizontal="left" vertical="center"/>
    </xf>
    <xf numFmtId="8" fontId="11" fillId="2" borderId="15" xfId="0" applyNumberFormat="1" applyFont="1" applyFill="1" applyBorder="1" applyAlignment="1">
      <alignment horizontal="right" vertical="center"/>
    </xf>
    <xf numFmtId="164" fontId="11" fillId="2" borderId="16" xfId="0" applyNumberFormat="1" applyFont="1" applyFill="1" applyBorder="1" applyAlignment="1">
      <alignment horizontal="right" vertical="center"/>
    </xf>
    <xf numFmtId="164" fontId="12" fillId="2" borderId="15" xfId="0" applyNumberFormat="1" applyFont="1" applyFill="1" applyBorder="1" applyAlignment="1">
      <alignment horizontal="right" vertical="center"/>
    </xf>
    <xf numFmtId="0" fontId="12" fillId="2" borderId="17" xfId="0" applyFont="1" applyFill="1" applyBorder="1" applyAlignment="1">
      <alignment horizontal="left" vertical="center"/>
    </xf>
    <xf numFmtId="8" fontId="12" fillId="2" borderId="17" xfId="0" applyNumberFormat="1" applyFont="1" applyFill="1" applyBorder="1" applyAlignment="1">
      <alignment horizontal="right" vertical="center"/>
    </xf>
    <xf numFmtId="8" fontId="12" fillId="2" borderId="18" xfId="0" applyNumberFormat="1" applyFont="1" applyFill="1" applyBorder="1" applyAlignment="1">
      <alignment horizontal="right" vertical="center"/>
    </xf>
    <xf numFmtId="0" fontId="11" fillId="2" borderId="17" xfId="0" applyFont="1" applyFill="1" applyBorder="1" applyAlignment="1">
      <alignment horizontal="left" vertical="center"/>
    </xf>
    <xf numFmtId="8" fontId="11" fillId="2" borderId="18" xfId="0" applyNumberFormat="1" applyFont="1" applyFill="1" applyBorder="1" applyAlignment="1">
      <alignment horizontal="right" vertical="center"/>
    </xf>
    <xf numFmtId="8" fontId="11" fillId="2" borderId="14" xfId="0" applyNumberFormat="1" applyFont="1" applyFill="1" applyBorder="1" applyAlignment="1">
      <alignment horizontal="right" vertical="center"/>
    </xf>
    <xf numFmtId="164" fontId="11" fillId="2" borderId="14" xfId="0" applyNumberFormat="1" applyFont="1" applyFill="1" applyBorder="1" applyAlignment="1">
      <alignment horizontal="right" vertical="center"/>
    </xf>
    <xf numFmtId="8" fontId="15" fillId="2" borderId="14" xfId="0" applyNumberFormat="1" applyFont="1" applyFill="1" applyBorder="1" applyAlignment="1">
      <alignment horizontal="right" vertical="center"/>
    </xf>
    <xf numFmtId="164" fontId="15" fillId="2" borderId="14" xfId="0" applyNumberFormat="1" applyFont="1" applyFill="1" applyBorder="1" applyAlignment="1">
      <alignment horizontal="right" vertical="center"/>
    </xf>
    <xf numFmtId="8" fontId="11" fillId="2" borderId="16" xfId="0" applyNumberFormat="1" applyFont="1" applyFill="1" applyBorder="1" applyAlignment="1">
      <alignment horizontal="right" vertical="center"/>
    </xf>
    <xf numFmtId="0" fontId="15" fillId="2" borderId="19" xfId="0" applyFont="1" applyFill="1" applyBorder="1" applyAlignment="1">
      <alignment horizontal="left" vertical="center"/>
    </xf>
    <xf numFmtId="8" fontId="15" fillId="2" borderId="19" xfId="0" applyNumberFormat="1" applyFont="1" applyFill="1" applyBorder="1" applyAlignment="1">
      <alignment horizontal="right" vertical="center"/>
    </xf>
    <xf numFmtId="164" fontId="15" fillId="2" borderId="19" xfId="0" applyNumberFormat="1" applyFont="1" applyFill="1" applyBorder="1" applyAlignment="1">
      <alignment horizontal="right" vertical="center"/>
    </xf>
    <xf numFmtId="0" fontId="16" fillId="2" borderId="19" xfId="0" applyFont="1" applyFill="1" applyBorder="1" applyAlignment="1">
      <alignment horizontal="left" vertical="center"/>
    </xf>
    <xf numFmtId="8" fontId="16" fillId="2" borderId="19" xfId="0" applyNumberFormat="1" applyFont="1" applyFill="1" applyBorder="1" applyAlignment="1">
      <alignment horizontal="right" vertical="center"/>
    </xf>
    <xf numFmtId="164" fontId="16" fillId="2" borderId="19" xfId="0" applyNumberFormat="1" applyFont="1" applyFill="1" applyBorder="1" applyAlignment="1">
      <alignment horizontal="right" vertical="center"/>
    </xf>
    <xf numFmtId="0" fontId="15" fillId="2" borderId="16" xfId="0" applyFont="1" applyFill="1" applyBorder="1" applyAlignment="1">
      <alignment horizontal="left" vertical="center"/>
    </xf>
    <xf numFmtId="8" fontId="15" fillId="2" borderId="16" xfId="0" applyNumberFormat="1" applyFont="1" applyFill="1" applyBorder="1" applyAlignment="1">
      <alignment horizontal="right" vertical="center"/>
    </xf>
    <xf numFmtId="164" fontId="15" fillId="2" borderId="16" xfId="0" applyNumberFormat="1" applyFont="1" applyFill="1" applyBorder="1" applyAlignment="1">
      <alignment horizontal="right" vertical="center"/>
    </xf>
    <xf numFmtId="0" fontId="16" fillId="2" borderId="16" xfId="0" applyFont="1" applyFill="1" applyBorder="1" applyAlignment="1">
      <alignment horizontal="left" vertical="center"/>
    </xf>
    <xf numFmtId="8" fontId="16" fillId="2" borderId="16" xfId="0" applyNumberFormat="1" applyFont="1" applyFill="1" applyBorder="1" applyAlignment="1">
      <alignment horizontal="right" vertical="center"/>
    </xf>
    <xf numFmtId="164" fontId="16" fillId="2" borderId="16" xfId="0" applyNumberFormat="1" applyFont="1" applyFill="1" applyBorder="1" applyAlignment="1">
      <alignment horizontal="right" vertical="center"/>
    </xf>
    <xf numFmtId="0" fontId="11" fillId="2" borderId="20" xfId="0" applyFont="1" applyFill="1" applyBorder="1" applyAlignment="1">
      <alignment horizontal="left" vertical="center"/>
    </xf>
    <xf numFmtId="8" fontId="16" fillId="2" borderId="20" xfId="0" applyNumberFormat="1" applyFont="1" applyFill="1" applyBorder="1" applyAlignment="1">
      <alignment horizontal="right" vertical="center"/>
    </xf>
    <xf numFmtId="8" fontId="11" fillId="2" borderId="20" xfId="0" applyNumberFormat="1" applyFont="1" applyFill="1" applyBorder="1" applyAlignment="1">
      <alignment horizontal="right" vertical="center"/>
    </xf>
    <xf numFmtId="164" fontId="16" fillId="2" borderId="20" xfId="0" applyNumberFormat="1" applyFont="1" applyFill="1" applyBorder="1" applyAlignment="1">
      <alignment horizontal="right" vertical="center"/>
    </xf>
    <xf numFmtId="0" fontId="16" fillId="2" borderId="20" xfId="0" applyFont="1" applyFill="1" applyBorder="1" applyAlignment="1">
      <alignment horizontal="left" vertical="center"/>
    </xf>
    <xf numFmtId="0" fontId="15" fillId="2" borderId="20" xfId="0" applyFont="1" applyFill="1" applyBorder="1" applyAlignment="1">
      <alignment horizontal="left" vertical="center"/>
    </xf>
    <xf numFmtId="8" fontId="15" fillId="2" borderId="20" xfId="0" applyNumberFormat="1" applyFont="1" applyFill="1" applyBorder="1" applyAlignment="1">
      <alignment horizontal="right" vertical="center"/>
    </xf>
    <xf numFmtId="164" fontId="15" fillId="2" borderId="20" xfId="0" applyNumberFormat="1" applyFont="1" applyFill="1" applyBorder="1" applyAlignment="1">
      <alignment horizontal="right" vertical="center"/>
    </xf>
    <xf numFmtId="8" fontId="12" fillId="4" borderId="21" xfId="0" applyNumberFormat="1" applyFont="1" applyFill="1" applyBorder="1" applyAlignment="1">
      <alignment horizontal="left" vertical="center"/>
    </xf>
    <xf numFmtId="8" fontId="12" fillId="4" borderId="22" xfId="0" applyNumberFormat="1" applyFont="1" applyFill="1" applyBorder="1" applyAlignment="1">
      <alignment horizontal="right" vertical="center"/>
    </xf>
    <xf numFmtId="164" fontId="12" fillId="4" borderId="22" xfId="0" applyNumberFormat="1" applyFont="1" applyFill="1" applyBorder="1" applyAlignment="1">
      <alignment horizontal="right" vertical="center"/>
    </xf>
    <xf numFmtId="8" fontId="12" fillId="4" borderId="23" xfId="0" applyNumberFormat="1" applyFont="1" applyFill="1" applyBorder="1" applyAlignment="1">
      <alignment horizontal="left" vertical="center"/>
    </xf>
    <xf numFmtId="8" fontId="12" fillId="4" borderId="24" xfId="0" applyNumberFormat="1" applyFont="1" applyFill="1" applyBorder="1" applyAlignment="1">
      <alignment horizontal="right" vertical="center"/>
    </xf>
    <xf numFmtId="8" fontId="12" fillId="4" borderId="24" xfId="0" applyNumberFormat="1" applyFont="1" applyFill="1" applyBorder="1" applyAlignment="1">
      <alignment horizontal="left" vertical="center"/>
    </xf>
    <xf numFmtId="164" fontId="12" fillId="4" borderId="24" xfId="0" applyNumberFormat="1" applyFont="1" applyFill="1" applyBorder="1" applyAlignment="1">
      <alignment horizontal="right" vertical="center"/>
    </xf>
    <xf numFmtId="8" fontId="12" fillId="4" borderId="6" xfId="0" applyNumberFormat="1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right" vertical="center"/>
    </xf>
    <xf numFmtId="0" fontId="15" fillId="2" borderId="10" xfId="0" applyFont="1" applyFill="1" applyBorder="1" applyAlignment="1">
      <alignment horizontal="left" vertical="center"/>
    </xf>
    <xf numFmtId="8" fontId="15" fillId="2" borderId="10" xfId="0" applyNumberFormat="1" applyFont="1" applyFill="1" applyBorder="1" applyAlignment="1">
      <alignment horizontal="right" vertical="center"/>
    </xf>
    <xf numFmtId="0" fontId="12" fillId="2" borderId="20" xfId="0" applyFont="1" applyFill="1" applyBorder="1" applyAlignment="1">
      <alignment horizontal="left" vertical="center"/>
    </xf>
    <xf numFmtId="8" fontId="12" fillId="2" borderId="20" xfId="0" applyNumberFormat="1" applyFont="1" applyFill="1" applyBorder="1" applyAlignment="1">
      <alignment horizontal="right" vertical="center"/>
    </xf>
    <xf numFmtId="164" fontId="12" fillId="2" borderId="20" xfId="0" applyNumberFormat="1" applyFont="1" applyFill="1" applyBorder="1" applyAlignment="1">
      <alignment horizontal="right" vertical="center"/>
    </xf>
    <xf numFmtId="164" fontId="12" fillId="4" borderId="23" xfId="0" applyNumberFormat="1" applyFont="1" applyFill="1" applyBorder="1" applyAlignment="1">
      <alignment horizontal="left" vertical="center"/>
    </xf>
    <xf numFmtId="164" fontId="11" fillId="2" borderId="20" xfId="0" applyNumberFormat="1" applyFont="1" applyFill="1" applyBorder="1" applyAlignment="1">
      <alignment horizontal="right" vertical="center"/>
    </xf>
    <xf numFmtId="164" fontId="12" fillId="4" borderId="6" xfId="0" applyNumberFormat="1" applyFont="1" applyFill="1" applyBorder="1" applyAlignment="1">
      <alignment horizontal="left" vertical="center"/>
    </xf>
    <xf numFmtId="8" fontId="12" fillId="4" borderId="19" xfId="0" applyNumberFormat="1" applyFont="1" applyFill="1" applyBorder="1" applyAlignment="1">
      <alignment horizontal="left" vertical="center"/>
    </xf>
    <xf numFmtId="7" fontId="12" fillId="4" borderId="23" xfId="0" applyNumberFormat="1" applyFont="1" applyFill="1" applyBorder="1" applyAlignment="1">
      <alignment horizontal="left" vertical="center"/>
    </xf>
    <xf numFmtId="7" fontId="12" fillId="4" borderId="6" xfId="0" applyNumberFormat="1" applyFont="1" applyFill="1" applyBorder="1" applyAlignment="1">
      <alignment horizontal="left" vertical="center"/>
    </xf>
    <xf numFmtId="0" fontId="17" fillId="0" borderId="0" xfId="0" applyFont="1"/>
    <xf numFmtId="0" fontId="14" fillId="0" borderId="0" xfId="0" applyFont="1"/>
    <xf numFmtId="0" fontId="17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0" borderId="2" xfId="0" applyFont="1" applyBorder="1"/>
    <xf numFmtId="0" fontId="5" fillId="0" borderId="3" xfId="0" applyFont="1" applyBorder="1"/>
    <xf numFmtId="0" fontId="10" fillId="3" borderId="5" xfId="0" applyFont="1" applyFill="1" applyBorder="1" applyAlignment="1">
      <alignment horizontal="center" vertical="center"/>
    </xf>
    <xf numFmtId="0" fontId="5" fillId="0" borderId="7" xfId="0" applyFont="1" applyBorder="1"/>
    <xf numFmtId="0" fontId="20" fillId="4" borderId="8" xfId="0" applyFont="1" applyFill="1" applyBorder="1" applyAlignment="1">
      <alignment vertical="center"/>
    </xf>
    <xf numFmtId="0" fontId="21" fillId="0" borderId="8" xfId="0" applyFont="1" applyBorder="1"/>
    <xf numFmtId="0" fontId="22" fillId="4" borderId="8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E4500"/>
      </a:accent1>
      <a:accent2>
        <a:srgbClr val="ECE5E8"/>
      </a:accent2>
      <a:accent3>
        <a:srgbClr val="FCE22A"/>
      </a:accent3>
      <a:accent4>
        <a:srgbClr val="347E8C"/>
      </a:accent4>
      <a:accent5>
        <a:srgbClr val="F69B53"/>
      </a:accent5>
      <a:accent6>
        <a:srgbClr val="3C7E51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ena-works-frontend.onren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fitToPage="1"/>
  </sheetPr>
  <dimension ref="A1:AD1056"/>
  <sheetViews>
    <sheetView showGridLines="0" tabSelected="1" topLeftCell="B41" workbookViewId="0">
      <selection activeCell="C4" sqref="C4"/>
    </sheetView>
  </sheetViews>
  <sheetFormatPr baseColWidth="10" defaultColWidth="12.6640625" defaultRowHeight="15" customHeight="1" x14ac:dyDescent="0.15"/>
  <cols>
    <col min="1" max="1" width="2.83203125" customWidth="1"/>
    <col min="2" max="2" width="30.83203125" customWidth="1"/>
    <col min="3" max="4" width="16.83203125" customWidth="1"/>
    <col min="5" max="6" width="15.83203125" customWidth="1"/>
    <col min="7" max="7" width="2.83203125" customWidth="1"/>
    <col min="8" max="8" width="33.5" customWidth="1"/>
    <col min="9" max="12" width="15.83203125" customWidth="1"/>
    <col min="13" max="13" width="2.83203125" customWidth="1"/>
    <col min="14" max="30" width="9.1640625" customWidth="1"/>
  </cols>
  <sheetData>
    <row r="1" spans="1:30" ht="19.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79.5" customHeight="1" x14ac:dyDescent="0.6">
      <c r="A2" s="3"/>
      <c r="B2" s="101" t="s">
        <v>2</v>
      </c>
      <c r="C2" s="102"/>
      <c r="D2" s="102"/>
      <c r="E2" s="102"/>
      <c r="F2" s="102"/>
      <c r="G2" s="102"/>
      <c r="H2" s="103"/>
      <c r="I2" s="4"/>
      <c r="J2" s="5"/>
      <c r="K2" s="5"/>
      <c r="L2" s="5" t="s">
        <v>3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30" customHeight="1" x14ac:dyDescent="0.15">
      <c r="A3" s="3"/>
      <c r="B3" s="6"/>
      <c r="C3" s="7"/>
      <c r="D3" s="7"/>
      <c r="E3" s="7"/>
      <c r="F3" s="7"/>
      <c r="G3" s="7"/>
      <c r="H3" s="7"/>
      <c r="I3" s="4"/>
      <c r="J3" s="8"/>
      <c r="K3" s="8"/>
      <c r="L3" s="8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30" customHeight="1" x14ac:dyDescent="0.15">
      <c r="A4" s="3"/>
      <c r="B4" s="104" t="s">
        <v>4</v>
      </c>
      <c r="C4" s="108" t="s">
        <v>131</v>
      </c>
      <c r="D4" s="9"/>
      <c r="E4" s="10"/>
      <c r="F4" s="10"/>
      <c r="G4" s="10"/>
      <c r="H4" s="10"/>
      <c r="I4" s="11" t="s">
        <v>5</v>
      </c>
      <c r="J4" s="11"/>
      <c r="K4" s="11"/>
      <c r="L4" s="11" t="s">
        <v>6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spans="1:30" ht="30" customHeight="1" x14ac:dyDescent="0.15">
      <c r="A5" s="3"/>
      <c r="B5" s="105"/>
      <c r="C5" s="106" t="s">
        <v>130</v>
      </c>
      <c r="D5" s="107"/>
      <c r="E5" s="107"/>
      <c r="F5" s="107"/>
      <c r="G5" s="13"/>
      <c r="H5" s="13"/>
      <c r="I5" s="14">
        <f>SUM(B39,H39,B73,H73,B80,B89,H89)</f>
        <v>7248.55</v>
      </c>
      <c r="J5" s="14"/>
      <c r="K5" s="14"/>
      <c r="L5" s="14">
        <f>SUM(D39,J39,D73,J73,D80,D89,J89)</f>
        <v>8272.0999999999985</v>
      </c>
      <c r="M5" s="2"/>
      <c r="N5" s="2"/>
      <c r="O5" s="2"/>
      <c r="P5" s="15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30" customHeight="1" x14ac:dyDescent="0.15">
      <c r="A6" s="16"/>
      <c r="B6" s="17"/>
      <c r="C6" s="18"/>
      <c r="D6" s="18"/>
      <c r="E6" s="18"/>
      <c r="F6" s="18"/>
      <c r="G6" s="19"/>
      <c r="H6" s="19"/>
      <c r="I6" s="19"/>
      <c r="J6" s="18"/>
      <c r="K6" s="18"/>
      <c r="L6" s="18"/>
      <c r="M6" s="2"/>
      <c r="N6" s="2"/>
      <c r="O6" s="2"/>
      <c r="P6" s="15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30" customHeight="1" x14ac:dyDescent="0.15">
      <c r="A7" s="3"/>
      <c r="B7" s="20" t="s">
        <v>7</v>
      </c>
      <c r="C7" s="21" t="s">
        <v>8</v>
      </c>
      <c r="D7" s="21" t="s">
        <v>9</v>
      </c>
      <c r="E7" s="21" t="s">
        <v>10</v>
      </c>
      <c r="F7" s="21" t="s">
        <v>11</v>
      </c>
      <c r="G7" s="22"/>
      <c r="H7" s="20" t="s">
        <v>12</v>
      </c>
      <c r="I7" s="21" t="s">
        <v>8</v>
      </c>
      <c r="J7" s="21" t="s">
        <v>9</v>
      </c>
      <c r="K7" s="21" t="s">
        <v>10</v>
      </c>
      <c r="L7" s="21" t="s">
        <v>11</v>
      </c>
      <c r="M7" s="23"/>
      <c r="N7" s="23"/>
      <c r="O7" s="23"/>
      <c r="P7" s="15"/>
      <c r="Q7" s="2"/>
      <c r="R7" s="2"/>
      <c r="S7" s="2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ht="30" customHeight="1" x14ac:dyDescent="0.15">
      <c r="A8" s="16"/>
      <c r="B8" s="24" t="s">
        <v>13</v>
      </c>
      <c r="C8" s="25" t="s">
        <v>14</v>
      </c>
      <c r="D8" s="25"/>
      <c r="E8" s="25"/>
      <c r="F8" s="25">
        <v>1153.5899999999999</v>
      </c>
      <c r="G8" s="22"/>
      <c r="H8" s="24" t="s">
        <v>15</v>
      </c>
      <c r="I8" s="25" t="s">
        <v>16</v>
      </c>
      <c r="J8" s="25"/>
      <c r="K8" s="25"/>
      <c r="L8" s="25">
        <v>156.31</v>
      </c>
      <c r="M8" s="2"/>
      <c r="N8" s="2"/>
      <c r="O8" s="2"/>
      <c r="P8" s="15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30" customHeight="1" x14ac:dyDescent="0.15">
      <c r="A9" s="16"/>
      <c r="B9" s="24" t="s">
        <v>17</v>
      </c>
      <c r="C9" s="25" t="s">
        <v>18</v>
      </c>
      <c r="D9" s="25"/>
      <c r="E9" s="26"/>
      <c r="F9" s="26">
        <v>324.85000000000002</v>
      </c>
      <c r="G9" s="22"/>
      <c r="H9" s="27" t="s">
        <v>15</v>
      </c>
      <c r="I9" s="28" t="s">
        <v>19</v>
      </c>
      <c r="J9" s="28"/>
      <c r="K9" s="29"/>
      <c r="L9" s="29">
        <v>43.97</v>
      </c>
      <c r="M9" s="2"/>
      <c r="N9" s="30"/>
      <c r="O9" s="2"/>
      <c r="P9" s="15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30" customHeight="1" x14ac:dyDescent="0.15">
      <c r="A10" s="16"/>
      <c r="B10" s="27" t="s">
        <v>20</v>
      </c>
      <c r="C10" s="28" t="s">
        <v>21</v>
      </c>
      <c r="D10" s="28"/>
      <c r="E10" s="29"/>
      <c r="F10" s="29">
        <v>128.97999999999999</v>
      </c>
      <c r="G10" s="22"/>
      <c r="H10" s="31" t="s">
        <v>15</v>
      </c>
      <c r="I10" s="32" t="s">
        <v>22</v>
      </c>
      <c r="J10" s="33"/>
      <c r="K10" s="34"/>
      <c r="L10" s="34">
        <v>36.9</v>
      </c>
      <c r="M10" s="2"/>
      <c r="N10" s="2"/>
      <c r="O10" s="2"/>
      <c r="P10" s="15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30" customHeight="1" x14ac:dyDescent="0.15">
      <c r="A11" s="16"/>
      <c r="B11" s="31" t="s">
        <v>13</v>
      </c>
      <c r="C11" s="32" t="s">
        <v>23</v>
      </c>
      <c r="D11" s="33"/>
      <c r="E11" s="34"/>
      <c r="F11" s="34">
        <v>248.64</v>
      </c>
      <c r="G11" s="22"/>
      <c r="H11" s="31" t="s">
        <v>15</v>
      </c>
      <c r="I11" s="32" t="s">
        <v>24</v>
      </c>
      <c r="J11" s="33"/>
      <c r="K11" s="34"/>
      <c r="L11" s="34">
        <v>439.82</v>
      </c>
      <c r="M11" s="2"/>
      <c r="O11" s="2"/>
      <c r="P11" s="35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30" customHeight="1" x14ac:dyDescent="0.15">
      <c r="A12" s="16"/>
      <c r="B12" s="31" t="s">
        <v>25</v>
      </c>
      <c r="C12" s="32" t="s">
        <v>23</v>
      </c>
      <c r="D12" s="33"/>
      <c r="E12" s="34"/>
      <c r="F12" s="34">
        <v>-124.32</v>
      </c>
      <c r="G12" s="22"/>
      <c r="H12" s="31" t="s">
        <v>15</v>
      </c>
      <c r="I12" s="32" t="s">
        <v>26</v>
      </c>
      <c r="J12" s="33"/>
      <c r="K12" s="34"/>
      <c r="L12" s="34">
        <v>61.94</v>
      </c>
      <c r="M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30" customHeight="1" x14ac:dyDescent="0.15">
      <c r="A13" s="16"/>
      <c r="B13" s="31" t="s">
        <v>15</v>
      </c>
      <c r="C13" s="32" t="s">
        <v>27</v>
      </c>
      <c r="D13" s="33"/>
      <c r="E13" s="34"/>
      <c r="F13" s="34">
        <v>30.56</v>
      </c>
      <c r="G13" s="22"/>
      <c r="H13" s="27" t="s">
        <v>28</v>
      </c>
      <c r="I13" s="36" t="s">
        <v>29</v>
      </c>
      <c r="J13" s="37"/>
      <c r="K13" s="37"/>
      <c r="L13" s="37">
        <v>44.43</v>
      </c>
      <c r="M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30" customHeight="1" x14ac:dyDescent="0.15">
      <c r="A14" s="16"/>
      <c r="B14" s="27" t="s">
        <v>15</v>
      </c>
      <c r="C14" s="36" t="s">
        <v>30</v>
      </c>
      <c r="D14" s="38"/>
      <c r="E14" s="37"/>
      <c r="F14" s="37">
        <v>95.5</v>
      </c>
      <c r="G14" s="22"/>
      <c r="H14" s="27" t="s">
        <v>15</v>
      </c>
      <c r="I14" s="36" t="s">
        <v>31</v>
      </c>
      <c r="J14" s="38"/>
      <c r="K14" s="37"/>
      <c r="L14" s="37">
        <v>138.44</v>
      </c>
      <c r="M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30" customHeight="1" x14ac:dyDescent="0.15">
      <c r="A15" s="16"/>
      <c r="B15" s="27" t="s">
        <v>17</v>
      </c>
      <c r="C15" s="36" t="s">
        <v>32</v>
      </c>
      <c r="D15" s="38"/>
      <c r="E15" s="37"/>
      <c r="F15" s="37">
        <v>43.4</v>
      </c>
      <c r="G15" s="39"/>
      <c r="H15" s="40" t="s">
        <v>33</v>
      </c>
      <c r="I15" s="41" t="s">
        <v>34</v>
      </c>
      <c r="J15" s="42">
        <f>'Credit Card Purchases'!G10</f>
        <v>107.1</v>
      </c>
      <c r="K15" s="42"/>
      <c r="L15" s="42"/>
      <c r="M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30" customHeight="1" x14ac:dyDescent="0.15">
      <c r="A16" s="16"/>
      <c r="B16" s="27" t="s">
        <v>35</v>
      </c>
      <c r="C16" s="36" t="s">
        <v>36</v>
      </c>
      <c r="D16" s="38"/>
      <c r="E16" s="37"/>
      <c r="F16" s="37">
        <v>545.21</v>
      </c>
      <c r="G16" s="39"/>
      <c r="H16" s="27" t="s">
        <v>37</v>
      </c>
      <c r="I16" s="36" t="s">
        <v>38</v>
      </c>
      <c r="J16" s="37"/>
      <c r="K16" s="37"/>
      <c r="L16" s="37">
        <v>78.38</v>
      </c>
      <c r="M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30" customHeight="1" x14ac:dyDescent="0.15">
      <c r="A17" s="16"/>
      <c r="B17" s="40" t="s">
        <v>33</v>
      </c>
      <c r="C17" s="41" t="s">
        <v>34</v>
      </c>
      <c r="D17" s="42">
        <f>'Credit Card Purchases'!B11</f>
        <v>376.52</v>
      </c>
      <c r="E17" s="42"/>
      <c r="F17" s="42"/>
      <c r="G17" s="39"/>
      <c r="H17" s="27" t="s">
        <v>39</v>
      </c>
      <c r="I17" s="36" t="s">
        <v>38</v>
      </c>
      <c r="J17" s="37"/>
      <c r="K17" s="37"/>
      <c r="L17" s="37">
        <v>7</v>
      </c>
      <c r="M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30" customHeight="1" x14ac:dyDescent="0.15">
      <c r="A18" s="16"/>
      <c r="B18" s="40" t="s">
        <v>40</v>
      </c>
      <c r="C18" s="41" t="s">
        <v>41</v>
      </c>
      <c r="D18" s="42">
        <f>'Credit Card Purchases'!B14</f>
        <v>125.64</v>
      </c>
      <c r="E18" s="42"/>
      <c r="F18" s="42"/>
      <c r="G18" s="39"/>
      <c r="H18" s="27" t="s">
        <v>42</v>
      </c>
      <c r="I18" s="36" t="s">
        <v>43</v>
      </c>
      <c r="J18" s="38"/>
      <c r="K18" s="37"/>
      <c r="L18" s="38">
        <v>286.3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30" customHeight="1" x14ac:dyDescent="0.15">
      <c r="A19" s="16"/>
      <c r="B19" s="27" t="s">
        <v>44</v>
      </c>
      <c r="C19" s="36" t="s">
        <v>45</v>
      </c>
      <c r="D19" s="38"/>
      <c r="E19" s="37"/>
      <c r="F19" s="37">
        <v>157.63999999999999</v>
      </c>
      <c r="G19" s="39"/>
      <c r="H19" s="27" t="s">
        <v>46</v>
      </c>
      <c r="I19" s="32" t="s">
        <v>47</v>
      </c>
      <c r="J19" s="33"/>
      <c r="K19" s="34"/>
      <c r="L19" s="37">
        <v>227.02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30" customHeight="1" x14ac:dyDescent="0.15">
      <c r="A20" s="16"/>
      <c r="B20" s="27" t="s">
        <v>15</v>
      </c>
      <c r="C20" s="32" t="s">
        <v>48</v>
      </c>
      <c r="D20" s="33"/>
      <c r="E20" s="34"/>
      <c r="F20" s="37">
        <v>148.88999999999999</v>
      </c>
      <c r="G20" s="39"/>
      <c r="H20" s="27" t="s">
        <v>49</v>
      </c>
      <c r="I20" s="28" t="s">
        <v>24</v>
      </c>
      <c r="J20" s="36"/>
      <c r="K20" s="43"/>
      <c r="L20" s="43">
        <v>-30.99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30" customHeight="1" x14ac:dyDescent="0.15">
      <c r="A21" s="16"/>
      <c r="B21" s="27" t="s">
        <v>15</v>
      </c>
      <c r="C21" s="28" t="s">
        <v>50</v>
      </c>
      <c r="D21" s="36"/>
      <c r="E21" s="43"/>
      <c r="F21" s="43">
        <v>28.99</v>
      </c>
      <c r="G21" s="39"/>
      <c r="H21" s="44" t="s">
        <v>49</v>
      </c>
      <c r="I21" s="45" t="s">
        <v>31</v>
      </c>
      <c r="J21" s="33"/>
      <c r="K21" s="34"/>
      <c r="L21" s="34">
        <v>-39.99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30" customHeight="1" x14ac:dyDescent="0.15">
      <c r="A22" s="16"/>
      <c r="B22" s="44" t="s">
        <v>17</v>
      </c>
      <c r="C22" s="45" t="s">
        <v>51</v>
      </c>
      <c r="D22" s="33"/>
      <c r="E22" s="34"/>
      <c r="F22" s="34">
        <v>141.02000000000001</v>
      </c>
      <c r="G22" s="39"/>
      <c r="H22" s="44" t="s">
        <v>49</v>
      </c>
      <c r="I22" s="46" t="s">
        <v>26</v>
      </c>
      <c r="J22" s="33"/>
      <c r="K22" s="34"/>
      <c r="L22" s="34">
        <v>-5.99</v>
      </c>
      <c r="M22" s="2"/>
      <c r="N22" s="2" t="s">
        <v>52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30" customHeight="1" x14ac:dyDescent="0.15">
      <c r="A23" s="16"/>
      <c r="B23" s="44" t="s">
        <v>17</v>
      </c>
      <c r="C23" s="46" t="s">
        <v>53</v>
      </c>
      <c r="D23" s="33"/>
      <c r="E23" s="34"/>
      <c r="F23" s="34">
        <v>39.29</v>
      </c>
      <c r="G23" s="39"/>
      <c r="H23" s="44" t="s">
        <v>49</v>
      </c>
      <c r="I23" s="46" t="s">
        <v>24</v>
      </c>
      <c r="J23" s="33"/>
      <c r="K23" s="34"/>
      <c r="L23" s="34">
        <v>-45.99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30" customHeight="1" x14ac:dyDescent="0.15">
      <c r="A24" s="16"/>
      <c r="B24" s="44" t="s">
        <v>54</v>
      </c>
      <c r="C24" s="46" t="s">
        <v>55</v>
      </c>
      <c r="D24" s="33"/>
      <c r="E24" s="34"/>
      <c r="F24" s="34">
        <v>150</v>
      </c>
      <c r="G24" s="39"/>
      <c r="H24" s="44" t="s">
        <v>49</v>
      </c>
      <c r="I24" s="46" t="s">
        <v>31</v>
      </c>
      <c r="J24" s="33"/>
      <c r="K24" s="34"/>
      <c r="L24" s="34">
        <v>-23.79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30" customHeight="1" x14ac:dyDescent="0.15">
      <c r="A25" s="16"/>
      <c r="B25" s="47" t="s">
        <v>56</v>
      </c>
      <c r="C25" s="48" t="s">
        <v>57</v>
      </c>
      <c r="D25" s="49">
        <f>'Credit Card Purchases'!B43</f>
        <v>115.31000000000002</v>
      </c>
      <c r="E25" s="50"/>
      <c r="F25" s="50"/>
      <c r="G25" s="39"/>
      <c r="H25" s="27" t="s">
        <v>58</v>
      </c>
      <c r="I25" s="33" t="s">
        <v>59</v>
      </c>
      <c r="J25" s="51"/>
      <c r="K25" s="52"/>
      <c r="L25" s="34">
        <v>223.2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30" customHeight="1" x14ac:dyDescent="0.15">
      <c r="A26" s="16"/>
      <c r="B26" s="27" t="s">
        <v>15</v>
      </c>
      <c r="C26" s="46" t="s">
        <v>60</v>
      </c>
      <c r="D26" s="33"/>
      <c r="E26" s="34"/>
      <c r="F26" s="34">
        <v>33.96</v>
      </c>
      <c r="G26" s="39"/>
      <c r="H26" s="40"/>
      <c r="I26" s="48"/>
      <c r="J26" s="49"/>
      <c r="K26" s="50"/>
      <c r="L26" s="50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30" customHeight="1" x14ac:dyDescent="0.15">
      <c r="A27" s="16"/>
      <c r="B27" s="27" t="s">
        <v>15</v>
      </c>
      <c r="C27" s="46" t="s">
        <v>61</v>
      </c>
      <c r="D27" s="33"/>
      <c r="E27" s="34"/>
      <c r="F27" s="34">
        <v>13.98</v>
      </c>
      <c r="G27" s="39"/>
      <c r="H27" s="40"/>
      <c r="I27" s="48"/>
      <c r="J27" s="49"/>
      <c r="K27" s="50"/>
      <c r="L27" s="50"/>
      <c r="M27" s="2"/>
      <c r="N27" s="23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30" customHeight="1" x14ac:dyDescent="0.15">
      <c r="A28" s="16"/>
      <c r="B28" s="27" t="s">
        <v>15</v>
      </c>
      <c r="C28" s="36" t="s">
        <v>62</v>
      </c>
      <c r="D28" s="38"/>
      <c r="E28" s="37"/>
      <c r="F28" s="37">
        <v>70.31</v>
      </c>
      <c r="G28" s="39"/>
      <c r="H28" s="40"/>
      <c r="I28" s="41"/>
      <c r="J28" s="53"/>
      <c r="K28" s="42"/>
      <c r="L28" s="4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30" customHeight="1" x14ac:dyDescent="0.15">
      <c r="A29" s="16"/>
      <c r="B29" s="54" t="s">
        <v>15</v>
      </c>
      <c r="C29" s="55" t="s">
        <v>63</v>
      </c>
      <c r="D29" s="55"/>
      <c r="E29" s="56">
        <v>12.47</v>
      </c>
      <c r="F29" s="56">
        <v>20.56</v>
      </c>
      <c r="G29" s="39"/>
      <c r="H29" s="57"/>
      <c r="I29" s="58"/>
      <c r="J29" s="58"/>
      <c r="K29" s="59"/>
      <c r="L29" s="59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30" customHeight="1" x14ac:dyDescent="0.15">
      <c r="A30" s="16"/>
      <c r="B30" s="60" t="s">
        <v>15</v>
      </c>
      <c r="C30" s="61" t="s">
        <v>64</v>
      </c>
      <c r="D30" s="61"/>
      <c r="E30" s="62">
        <v>39.99</v>
      </c>
      <c r="F30" s="62"/>
      <c r="G30" s="39"/>
      <c r="H30" s="63"/>
      <c r="I30" s="64"/>
      <c r="J30" s="64"/>
      <c r="K30" s="65"/>
      <c r="L30" s="65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30" customHeight="1" x14ac:dyDescent="0.15">
      <c r="A31" s="16"/>
      <c r="B31" s="66" t="s">
        <v>65</v>
      </c>
      <c r="C31" s="67"/>
      <c r="D31" s="68">
        <v>140.88</v>
      </c>
      <c r="E31" s="69"/>
      <c r="F31" s="69"/>
      <c r="G31" s="39"/>
      <c r="H31" s="70"/>
      <c r="I31" s="67"/>
      <c r="J31" s="67"/>
      <c r="K31" s="69"/>
      <c r="L31" s="69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30" customHeight="1" x14ac:dyDescent="0.15">
      <c r="A32" s="16"/>
      <c r="B32" s="71"/>
      <c r="C32" s="72"/>
      <c r="D32" s="72"/>
      <c r="E32" s="73"/>
      <c r="F32" s="73"/>
      <c r="G32" s="39"/>
      <c r="H32" s="70"/>
      <c r="I32" s="67"/>
      <c r="J32" s="67"/>
      <c r="K32" s="69"/>
      <c r="L32" s="69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30" customHeight="1" x14ac:dyDescent="0.15">
      <c r="A33" s="16"/>
      <c r="B33" s="71"/>
      <c r="C33" s="72"/>
      <c r="D33" s="72"/>
      <c r="E33" s="73"/>
      <c r="F33" s="73"/>
      <c r="G33" s="39"/>
      <c r="H33" s="70"/>
      <c r="I33" s="67"/>
      <c r="J33" s="67"/>
      <c r="K33" s="69"/>
      <c r="L33" s="69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30" customHeight="1" x14ac:dyDescent="0.15">
      <c r="A34" s="16"/>
      <c r="B34" s="71"/>
      <c r="C34" s="72"/>
      <c r="D34" s="72"/>
      <c r="E34" s="73"/>
      <c r="F34" s="73"/>
      <c r="G34" s="39"/>
      <c r="H34" s="70"/>
      <c r="I34" s="67"/>
      <c r="J34" s="67"/>
      <c r="K34" s="69"/>
      <c r="L34" s="69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30" customHeight="1" x14ac:dyDescent="0.15">
      <c r="A35" s="16"/>
      <c r="B35" s="71"/>
      <c r="C35" s="72"/>
      <c r="D35" s="72"/>
      <c r="E35" s="73"/>
      <c r="F35" s="73"/>
      <c r="G35" s="39"/>
      <c r="H35" s="70"/>
      <c r="I35" s="67"/>
      <c r="J35" s="67"/>
      <c r="K35" s="69"/>
      <c r="L35" s="69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30" customHeight="1" x14ac:dyDescent="0.15">
      <c r="A36" s="16"/>
      <c r="B36" s="71"/>
      <c r="C36" s="72"/>
      <c r="D36" s="72"/>
      <c r="E36" s="73"/>
      <c r="F36" s="73"/>
      <c r="G36" s="39"/>
      <c r="H36" s="70"/>
      <c r="I36" s="67"/>
      <c r="J36" s="67"/>
      <c r="K36" s="69"/>
      <c r="L36" s="69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30" customHeight="1" x14ac:dyDescent="0.15">
      <c r="A37" s="16"/>
      <c r="B37" s="71"/>
      <c r="C37" s="72"/>
      <c r="D37" s="72"/>
      <c r="E37" s="73"/>
      <c r="F37" s="73"/>
      <c r="G37" s="39"/>
      <c r="H37" s="70"/>
      <c r="I37" s="67"/>
      <c r="J37" s="67"/>
      <c r="K37" s="69"/>
      <c r="L37" s="69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30" customHeight="1" x14ac:dyDescent="0.15">
      <c r="A38" s="16"/>
      <c r="B38" s="74"/>
      <c r="C38" s="75" t="s">
        <v>66</v>
      </c>
      <c r="D38" s="76">
        <f t="shared" ref="D38:F38" si="0">SUM(D8:D37)</f>
        <v>758.35</v>
      </c>
      <c r="E38" s="76">
        <f t="shared" si="0"/>
        <v>52.46</v>
      </c>
      <c r="F38" s="76">
        <f t="shared" si="0"/>
        <v>3251.0499999999993</v>
      </c>
      <c r="G38" s="39"/>
      <c r="H38" s="77"/>
      <c r="I38" s="78" t="s">
        <v>66</v>
      </c>
      <c r="J38" s="76">
        <f t="shared" ref="J38:L38" si="1">SUM(J8:J37)</f>
        <v>107.1</v>
      </c>
      <c r="K38" s="76">
        <f t="shared" si="1"/>
        <v>0</v>
      </c>
      <c r="L38" s="76">
        <f t="shared" si="1"/>
        <v>1596.96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30" customHeight="1" x14ac:dyDescent="0.15">
      <c r="A39" s="16"/>
      <c r="B39" s="79">
        <v>2500</v>
      </c>
      <c r="C39" s="78" t="s">
        <v>67</v>
      </c>
      <c r="D39" s="80">
        <f>SUM(D38:F38)</f>
        <v>4061.8599999999992</v>
      </c>
      <c r="E39" s="80"/>
      <c r="F39" s="80"/>
      <c r="G39" s="22"/>
      <c r="H39" s="81">
        <v>1500</v>
      </c>
      <c r="I39" s="78" t="s">
        <v>67</v>
      </c>
      <c r="J39" s="80">
        <f>SUM(J38:L38)</f>
        <v>1704.06</v>
      </c>
      <c r="K39" s="80"/>
      <c r="L39" s="80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30" customHeight="1" x14ac:dyDescent="0.15">
      <c r="A40" s="16"/>
      <c r="B40" s="82"/>
      <c r="C40" s="83"/>
      <c r="D40" s="83"/>
      <c r="E40" s="83"/>
      <c r="F40" s="83"/>
      <c r="G40" s="22"/>
      <c r="H40" s="82"/>
      <c r="I40" s="83"/>
      <c r="J40" s="83"/>
      <c r="K40" s="83"/>
      <c r="L40" s="83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30" customHeight="1" x14ac:dyDescent="0.15">
      <c r="A41" s="16"/>
      <c r="B41" s="20" t="s">
        <v>68</v>
      </c>
      <c r="C41" s="21" t="s">
        <v>8</v>
      </c>
      <c r="D41" s="21" t="s">
        <v>9</v>
      </c>
      <c r="E41" s="21" t="s">
        <v>10</v>
      </c>
      <c r="F41" s="21" t="s">
        <v>11</v>
      </c>
      <c r="G41" s="22"/>
      <c r="H41" s="20" t="s">
        <v>69</v>
      </c>
      <c r="I41" s="21" t="s">
        <v>8</v>
      </c>
      <c r="J41" s="21" t="s">
        <v>9</v>
      </c>
      <c r="K41" s="21" t="s">
        <v>10</v>
      </c>
      <c r="L41" s="21" t="s">
        <v>11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30" customHeight="1" x14ac:dyDescent="0.15">
      <c r="A42" s="16"/>
      <c r="B42" s="24" t="s">
        <v>70</v>
      </c>
      <c r="C42" s="25" t="s">
        <v>71</v>
      </c>
      <c r="D42" s="25"/>
      <c r="E42" s="25"/>
      <c r="F42" s="25">
        <v>266</v>
      </c>
      <c r="G42" s="22"/>
      <c r="H42" s="84" t="s">
        <v>72</v>
      </c>
      <c r="I42" s="85" t="s">
        <v>73</v>
      </c>
      <c r="J42" s="85"/>
      <c r="K42" s="85">
        <v>112.48</v>
      </c>
      <c r="L42" s="85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30" customHeight="1" x14ac:dyDescent="0.15">
      <c r="A43" s="16"/>
      <c r="B43" s="24" t="s">
        <v>74</v>
      </c>
      <c r="C43" s="25" t="s">
        <v>71</v>
      </c>
      <c r="D43" s="25"/>
      <c r="E43" s="26"/>
      <c r="F43" s="26">
        <v>18.5</v>
      </c>
      <c r="G43" s="22"/>
      <c r="H43" s="24"/>
      <c r="I43" s="25"/>
      <c r="J43" s="25"/>
      <c r="K43" s="26"/>
      <c r="L43" s="26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30" customHeight="1" x14ac:dyDescent="0.15">
      <c r="A44" s="16"/>
      <c r="B44" s="27" t="s">
        <v>72</v>
      </c>
      <c r="C44" s="28" t="s">
        <v>75</v>
      </c>
      <c r="D44" s="28"/>
      <c r="E44" s="29"/>
      <c r="F44" s="29">
        <v>96.07</v>
      </c>
      <c r="G44" s="22"/>
      <c r="H44" s="27"/>
      <c r="I44" s="28"/>
      <c r="J44" s="28"/>
      <c r="K44" s="29"/>
      <c r="L44" s="29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30" customHeight="1" x14ac:dyDescent="0.15">
      <c r="A45" s="16"/>
      <c r="B45" s="31" t="s">
        <v>56</v>
      </c>
      <c r="C45" s="32" t="s">
        <v>57</v>
      </c>
      <c r="D45" s="33">
        <f>'Credit Card Purchases'!C43</f>
        <v>35.92</v>
      </c>
      <c r="E45" s="34"/>
      <c r="F45" s="34"/>
      <c r="G45" s="22"/>
      <c r="H45" s="31"/>
      <c r="I45" s="32"/>
      <c r="J45" s="33"/>
      <c r="K45" s="34"/>
      <c r="L45" s="34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30" customHeight="1" x14ac:dyDescent="0.15">
      <c r="A46" s="16"/>
      <c r="B46" s="31"/>
      <c r="C46" s="32"/>
      <c r="D46" s="33"/>
      <c r="E46" s="34"/>
      <c r="F46" s="34"/>
      <c r="G46" s="22"/>
      <c r="H46" s="31"/>
      <c r="I46" s="32"/>
      <c r="J46" s="33"/>
      <c r="K46" s="34"/>
      <c r="L46" s="34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30" customHeight="1" x14ac:dyDescent="0.15">
      <c r="A47" s="16"/>
      <c r="B47" s="31"/>
      <c r="C47" s="32"/>
      <c r="D47" s="33"/>
      <c r="E47" s="34"/>
      <c r="F47" s="34"/>
      <c r="G47" s="22"/>
      <c r="H47" s="31"/>
      <c r="I47" s="32"/>
      <c r="J47" s="33"/>
      <c r="K47" s="34"/>
      <c r="L47" s="34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30" customHeight="1" x14ac:dyDescent="0.15">
      <c r="A48" s="16"/>
      <c r="B48" s="27"/>
      <c r="C48" s="36"/>
      <c r="D48" s="38"/>
      <c r="E48" s="37"/>
      <c r="F48" s="37"/>
      <c r="G48" s="22"/>
      <c r="H48" s="27"/>
      <c r="I48" s="36"/>
      <c r="J48" s="38"/>
      <c r="K48" s="37"/>
      <c r="L48" s="37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30" customHeight="1" x14ac:dyDescent="0.15">
      <c r="A49" s="16"/>
      <c r="B49" s="27"/>
      <c r="C49" s="36"/>
      <c r="D49" s="38"/>
      <c r="E49" s="37"/>
      <c r="F49" s="37"/>
      <c r="G49" s="22"/>
      <c r="H49" s="27"/>
      <c r="I49" s="36"/>
      <c r="J49" s="38"/>
      <c r="K49" s="37"/>
      <c r="L49" s="37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30" customHeight="1" x14ac:dyDescent="0.15">
      <c r="A50" s="16"/>
      <c r="B50" s="27"/>
      <c r="C50" s="36"/>
      <c r="D50" s="38"/>
      <c r="E50" s="37"/>
      <c r="F50" s="37"/>
      <c r="G50" s="22"/>
      <c r="H50" s="27"/>
      <c r="I50" s="36"/>
      <c r="J50" s="38"/>
      <c r="K50" s="37"/>
      <c r="L50" s="37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30" customHeight="1" x14ac:dyDescent="0.15">
      <c r="A51" s="16"/>
      <c r="B51" s="40"/>
      <c r="C51" s="41"/>
      <c r="D51" s="42"/>
      <c r="E51" s="42"/>
      <c r="F51" s="42"/>
      <c r="G51" s="22"/>
      <c r="H51" s="40"/>
      <c r="I51" s="41"/>
      <c r="J51" s="42"/>
      <c r="K51" s="42"/>
      <c r="L51" s="4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30" customHeight="1" x14ac:dyDescent="0.15">
      <c r="A52" s="16"/>
      <c r="B52" s="40"/>
      <c r="C52" s="41"/>
      <c r="D52" s="42"/>
      <c r="E52" s="42"/>
      <c r="F52" s="42"/>
      <c r="G52" s="22"/>
      <c r="H52" s="40"/>
      <c r="I52" s="41"/>
      <c r="J52" s="42"/>
      <c r="K52" s="42"/>
      <c r="L52" s="4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30" customHeight="1" x14ac:dyDescent="0.15">
      <c r="A53" s="16"/>
      <c r="B53" s="27"/>
      <c r="C53" s="36"/>
      <c r="D53" s="38"/>
      <c r="E53" s="37"/>
      <c r="F53" s="37"/>
      <c r="G53" s="22"/>
      <c r="H53" s="27"/>
      <c r="I53" s="36"/>
      <c r="J53" s="38"/>
      <c r="K53" s="37"/>
      <c r="L53" s="37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30" customHeight="1" x14ac:dyDescent="0.15">
      <c r="A54" s="16"/>
      <c r="B54" s="27"/>
      <c r="C54" s="32"/>
      <c r="D54" s="33"/>
      <c r="E54" s="34"/>
      <c r="F54" s="37"/>
      <c r="G54" s="22"/>
      <c r="H54" s="27"/>
      <c r="I54" s="32"/>
      <c r="J54" s="33"/>
      <c r="K54" s="34"/>
      <c r="L54" s="37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30" customHeight="1" x14ac:dyDescent="0.15">
      <c r="A55" s="16"/>
      <c r="B55" s="27"/>
      <c r="C55" s="28"/>
      <c r="D55" s="36"/>
      <c r="E55" s="43"/>
      <c r="F55" s="43"/>
      <c r="G55" s="22"/>
      <c r="H55" s="27"/>
      <c r="I55" s="28"/>
      <c r="J55" s="36"/>
      <c r="K55" s="43"/>
      <c r="L55" s="43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30" customHeight="1" x14ac:dyDescent="0.15">
      <c r="A56" s="16"/>
      <c r="B56" s="44"/>
      <c r="C56" s="45"/>
      <c r="D56" s="33"/>
      <c r="E56" s="34"/>
      <c r="F56" s="34"/>
      <c r="G56" s="22"/>
      <c r="H56" s="44"/>
      <c r="I56" s="45"/>
      <c r="J56" s="33"/>
      <c r="K56" s="34"/>
      <c r="L56" s="34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30" customHeight="1" x14ac:dyDescent="0.15">
      <c r="A57" s="16"/>
      <c r="B57" s="44"/>
      <c r="C57" s="46"/>
      <c r="D57" s="33"/>
      <c r="E57" s="34"/>
      <c r="F57" s="34"/>
      <c r="G57" s="22"/>
      <c r="H57" s="44"/>
      <c r="I57" s="46"/>
      <c r="J57" s="33"/>
      <c r="K57" s="34"/>
      <c r="L57" s="34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30" customHeight="1" x14ac:dyDescent="0.15">
      <c r="A58" s="16"/>
      <c r="B58" s="44"/>
      <c r="C58" s="46"/>
      <c r="D58" s="33"/>
      <c r="E58" s="34"/>
      <c r="F58" s="34"/>
      <c r="G58" s="22"/>
      <c r="H58" s="44"/>
      <c r="I58" s="46"/>
      <c r="J58" s="33"/>
      <c r="K58" s="34"/>
      <c r="L58" s="34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30" customHeight="1" x14ac:dyDescent="0.15">
      <c r="A59" s="16"/>
      <c r="B59" s="47"/>
      <c r="C59" s="48"/>
      <c r="D59" s="49"/>
      <c r="E59" s="50"/>
      <c r="F59" s="50"/>
      <c r="G59" s="22"/>
      <c r="H59" s="47"/>
      <c r="I59" s="48"/>
      <c r="J59" s="49"/>
      <c r="K59" s="50"/>
      <c r="L59" s="50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30" customHeight="1" x14ac:dyDescent="0.15">
      <c r="A60" s="16"/>
      <c r="B60" s="27"/>
      <c r="C60" s="46"/>
      <c r="D60" s="33"/>
      <c r="E60" s="34"/>
      <c r="F60" s="34"/>
      <c r="G60" s="22"/>
      <c r="H60" s="27"/>
      <c r="I60" s="46"/>
      <c r="J60" s="33"/>
      <c r="K60" s="34"/>
      <c r="L60" s="34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30" customHeight="1" x14ac:dyDescent="0.15">
      <c r="A61" s="16"/>
      <c r="B61" s="27"/>
      <c r="C61" s="46"/>
      <c r="D61" s="33"/>
      <c r="E61" s="34"/>
      <c r="F61" s="34"/>
      <c r="G61" s="22"/>
      <c r="H61" s="27"/>
      <c r="I61" s="46"/>
      <c r="J61" s="33"/>
      <c r="K61" s="34"/>
      <c r="L61" s="34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30" customHeight="1" x14ac:dyDescent="0.15">
      <c r="A62" s="16"/>
      <c r="B62" s="27"/>
      <c r="C62" s="36"/>
      <c r="D62" s="38"/>
      <c r="E62" s="37"/>
      <c r="F62" s="37"/>
      <c r="G62" s="22"/>
      <c r="H62" s="27"/>
      <c r="I62" s="36"/>
      <c r="J62" s="38"/>
      <c r="K62" s="37"/>
      <c r="L62" s="37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30" customHeight="1" x14ac:dyDescent="0.15">
      <c r="A63" s="16"/>
      <c r="B63" s="54"/>
      <c r="C63" s="55"/>
      <c r="D63" s="55"/>
      <c r="E63" s="56"/>
      <c r="F63" s="56"/>
      <c r="G63" s="22"/>
      <c r="H63" s="54"/>
      <c r="I63" s="55"/>
      <c r="J63" s="55"/>
      <c r="K63" s="56"/>
      <c r="L63" s="56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30" customHeight="1" x14ac:dyDescent="0.15">
      <c r="A64" s="16"/>
      <c r="B64" s="60"/>
      <c r="C64" s="61"/>
      <c r="D64" s="61"/>
      <c r="E64" s="62"/>
      <c r="F64" s="62"/>
      <c r="G64" s="22"/>
      <c r="H64" s="60"/>
      <c r="I64" s="61"/>
      <c r="J64" s="61"/>
      <c r="K64" s="62"/>
      <c r="L64" s="6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30" customHeight="1" x14ac:dyDescent="0.15">
      <c r="A65" s="16"/>
      <c r="B65" s="71"/>
      <c r="C65" s="72"/>
      <c r="D65" s="72"/>
      <c r="E65" s="73"/>
      <c r="F65" s="73"/>
      <c r="G65" s="22"/>
      <c r="H65" s="71"/>
      <c r="I65" s="72"/>
      <c r="J65" s="72"/>
      <c r="K65" s="73"/>
      <c r="L65" s="73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30" customHeight="1" x14ac:dyDescent="0.15">
      <c r="A66" s="16"/>
      <c r="B66" s="71"/>
      <c r="C66" s="72"/>
      <c r="D66" s="72"/>
      <c r="E66" s="73"/>
      <c r="F66" s="73"/>
      <c r="G66" s="22"/>
      <c r="H66" s="71"/>
      <c r="I66" s="72"/>
      <c r="J66" s="72"/>
      <c r="K66" s="73"/>
      <c r="L66" s="73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30" customHeight="1" x14ac:dyDescent="0.15">
      <c r="A67" s="16"/>
      <c r="B67" s="71"/>
      <c r="C67" s="72"/>
      <c r="D67" s="72"/>
      <c r="E67" s="73"/>
      <c r="F67" s="73"/>
      <c r="G67" s="22"/>
      <c r="H67" s="71"/>
      <c r="I67" s="72"/>
      <c r="J67" s="72"/>
      <c r="K67" s="73"/>
      <c r="L67" s="73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30" customHeight="1" x14ac:dyDescent="0.15">
      <c r="A68" s="16"/>
      <c r="B68" s="71"/>
      <c r="C68" s="72"/>
      <c r="D68" s="72"/>
      <c r="E68" s="73"/>
      <c r="F68" s="73"/>
      <c r="G68" s="22"/>
      <c r="H68" s="71"/>
      <c r="I68" s="72"/>
      <c r="J68" s="72"/>
      <c r="K68" s="73"/>
      <c r="L68" s="73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30" customHeight="1" x14ac:dyDescent="0.15">
      <c r="A69" s="16"/>
      <c r="B69" s="71"/>
      <c r="C69" s="72"/>
      <c r="D69" s="72"/>
      <c r="E69" s="73"/>
      <c r="F69" s="73"/>
      <c r="G69" s="22"/>
      <c r="H69" s="71"/>
      <c r="I69" s="72"/>
      <c r="J69" s="72"/>
      <c r="K69" s="73"/>
      <c r="L69" s="73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30" customHeight="1" x14ac:dyDescent="0.15">
      <c r="A70" s="16"/>
      <c r="B70" s="71"/>
      <c r="C70" s="72"/>
      <c r="D70" s="72"/>
      <c r="E70" s="73"/>
      <c r="F70" s="73"/>
      <c r="G70" s="22"/>
      <c r="H70" s="71"/>
      <c r="I70" s="72"/>
      <c r="J70" s="72"/>
      <c r="K70" s="73"/>
      <c r="L70" s="73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30" customHeight="1" x14ac:dyDescent="0.15">
      <c r="A71" s="16"/>
      <c r="B71" s="71"/>
      <c r="C71" s="72"/>
      <c r="D71" s="72"/>
      <c r="E71" s="73"/>
      <c r="F71" s="73"/>
      <c r="G71" s="22"/>
      <c r="H71" s="71"/>
      <c r="I71" s="72"/>
      <c r="J71" s="72"/>
      <c r="K71" s="73"/>
      <c r="L71" s="73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30" customHeight="1" x14ac:dyDescent="0.15">
      <c r="A72" s="16"/>
      <c r="B72" s="77"/>
      <c r="C72" s="78" t="s">
        <v>66</v>
      </c>
      <c r="D72" s="80">
        <f t="shared" ref="D72:F72" si="2">SUM(D42:D71)</f>
        <v>35.92</v>
      </c>
      <c r="E72" s="80">
        <f t="shared" si="2"/>
        <v>0</v>
      </c>
      <c r="F72" s="80">
        <f t="shared" si="2"/>
        <v>380.57</v>
      </c>
      <c r="G72" s="22"/>
      <c r="H72" s="77"/>
      <c r="I72" s="78" t="s">
        <v>66</v>
      </c>
      <c r="J72" s="80">
        <f t="shared" ref="J72:L72" si="3">SUM(J42:J71)</f>
        <v>0</v>
      </c>
      <c r="K72" s="80">
        <f t="shared" si="3"/>
        <v>112.48</v>
      </c>
      <c r="L72" s="80">
        <f t="shared" si="3"/>
        <v>0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30" customHeight="1" x14ac:dyDescent="0.15">
      <c r="A73" s="16"/>
      <c r="B73" s="81">
        <v>1000</v>
      </c>
      <c r="C73" s="78" t="s">
        <v>67</v>
      </c>
      <c r="D73" s="80">
        <f>SUM(D72:F72)</f>
        <v>416.49</v>
      </c>
      <c r="E73" s="80"/>
      <c r="F73" s="80"/>
      <c r="G73" s="22"/>
      <c r="H73" s="81">
        <v>100</v>
      </c>
      <c r="I73" s="78" t="s">
        <v>67</v>
      </c>
      <c r="J73" s="80">
        <f>SUM(J72:L72)</f>
        <v>112.48</v>
      </c>
      <c r="K73" s="80"/>
      <c r="L73" s="80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30" customHeight="1" x14ac:dyDescent="0.15">
      <c r="A74" s="16"/>
      <c r="B74" s="82"/>
      <c r="C74" s="83"/>
      <c r="D74" s="83"/>
      <c r="E74" s="83"/>
      <c r="F74" s="83"/>
      <c r="G74" s="22"/>
      <c r="H74" s="82"/>
      <c r="I74" s="83"/>
      <c r="J74" s="83"/>
      <c r="K74" s="83"/>
      <c r="L74" s="83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30" customHeight="1" x14ac:dyDescent="0.15">
      <c r="A75" s="3"/>
      <c r="B75" s="20" t="s">
        <v>76</v>
      </c>
      <c r="C75" s="21" t="s">
        <v>8</v>
      </c>
      <c r="D75" s="21" t="s">
        <v>9</v>
      </c>
      <c r="E75" s="21" t="s">
        <v>10</v>
      </c>
      <c r="F75" s="21" t="s">
        <v>11</v>
      </c>
      <c r="G75" s="22"/>
      <c r="H75" s="20" t="s">
        <v>77</v>
      </c>
      <c r="I75" s="21" t="s">
        <v>8</v>
      </c>
      <c r="J75" s="21" t="s">
        <v>9</v>
      </c>
      <c r="K75" s="21" t="s">
        <v>10</v>
      </c>
      <c r="L75" s="21" t="s">
        <v>11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30" customHeight="1" x14ac:dyDescent="0.15">
      <c r="A76" s="16"/>
      <c r="B76" s="86" t="s">
        <v>78</v>
      </c>
      <c r="C76" s="87" t="s">
        <v>79</v>
      </c>
      <c r="D76" s="87"/>
      <c r="E76" s="88"/>
      <c r="F76" s="88">
        <v>910</v>
      </c>
      <c r="G76" s="22"/>
      <c r="H76" s="86" t="s">
        <v>80</v>
      </c>
      <c r="I76" s="87" t="s">
        <v>81</v>
      </c>
      <c r="J76" s="87"/>
      <c r="K76" s="88"/>
      <c r="L76" s="88">
        <v>300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30" customHeight="1" x14ac:dyDescent="0.15">
      <c r="A77" s="16"/>
      <c r="B77" s="86" t="s">
        <v>78</v>
      </c>
      <c r="C77" s="87" t="s">
        <v>82</v>
      </c>
      <c r="D77" s="87"/>
      <c r="E77" s="88"/>
      <c r="F77" s="88">
        <v>105</v>
      </c>
      <c r="G77" s="22"/>
      <c r="H77" s="86" t="s">
        <v>42</v>
      </c>
      <c r="I77" s="87" t="s">
        <v>43</v>
      </c>
      <c r="J77" s="87"/>
      <c r="K77" s="88"/>
      <c r="L77" s="88">
        <f>'Credit Card Purchases'!L28</f>
        <v>113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30" customHeight="1" x14ac:dyDescent="0.15">
      <c r="A78" s="16"/>
      <c r="B78" s="86" t="s">
        <v>83</v>
      </c>
      <c r="C78" s="87" t="s">
        <v>82</v>
      </c>
      <c r="D78" s="87"/>
      <c r="E78" s="88"/>
      <c r="F78" s="88">
        <v>133.55000000000001</v>
      </c>
      <c r="G78" s="22"/>
      <c r="H78" s="86" t="s">
        <v>84</v>
      </c>
      <c r="I78" s="87" t="s">
        <v>85</v>
      </c>
      <c r="J78" s="87"/>
      <c r="K78" s="88"/>
      <c r="L78" s="88">
        <v>112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30" customHeight="1" x14ac:dyDescent="0.15">
      <c r="A79" s="16"/>
      <c r="B79" s="89"/>
      <c r="C79" s="78" t="s">
        <v>66</v>
      </c>
      <c r="D79" s="80">
        <f t="shared" ref="D79:F79" si="4">SUM(D76:D78)</f>
        <v>0</v>
      </c>
      <c r="E79" s="80">
        <f t="shared" si="4"/>
        <v>0</v>
      </c>
      <c r="F79" s="80">
        <f t="shared" si="4"/>
        <v>1148.55</v>
      </c>
      <c r="G79" s="22"/>
      <c r="H79" s="66"/>
      <c r="I79" s="68"/>
      <c r="J79" s="68"/>
      <c r="K79" s="90"/>
      <c r="L79" s="90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30" customHeight="1" x14ac:dyDescent="0.15">
      <c r="A80" s="16"/>
      <c r="B80" s="91">
        <v>1148.55</v>
      </c>
      <c r="C80" s="78" t="s">
        <v>67</v>
      </c>
      <c r="D80" s="80">
        <f>SUM(D79:F79)</f>
        <v>1148.55</v>
      </c>
      <c r="E80" s="80"/>
      <c r="F80" s="80"/>
      <c r="G80" s="22"/>
      <c r="H80" s="66"/>
      <c r="I80" s="68"/>
      <c r="J80" s="68"/>
      <c r="K80" s="90"/>
      <c r="L80" s="90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30" customHeight="1" x14ac:dyDescent="0.15">
      <c r="A81" s="16"/>
      <c r="B81" s="82"/>
      <c r="C81" s="83"/>
      <c r="D81" s="83"/>
      <c r="E81" s="83"/>
      <c r="F81" s="83"/>
      <c r="G81" s="22"/>
      <c r="H81" s="66"/>
      <c r="I81" s="68"/>
      <c r="J81" s="68"/>
      <c r="K81" s="90"/>
      <c r="L81" s="90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30" customHeight="1" x14ac:dyDescent="0.15">
      <c r="A82" s="3"/>
      <c r="B82" s="20" t="s">
        <v>86</v>
      </c>
      <c r="C82" s="21" t="s">
        <v>8</v>
      </c>
      <c r="D82" s="21" t="s">
        <v>9</v>
      </c>
      <c r="E82" s="21" t="s">
        <v>10</v>
      </c>
      <c r="F82" s="21" t="s">
        <v>11</v>
      </c>
      <c r="G82" s="22"/>
      <c r="H82" s="66"/>
      <c r="I82" s="68"/>
      <c r="J82" s="68"/>
      <c r="K82" s="90"/>
      <c r="L82" s="90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30" customHeight="1" x14ac:dyDescent="0.15">
      <c r="A83" s="16"/>
      <c r="B83" s="86" t="s">
        <v>15</v>
      </c>
      <c r="C83" s="87" t="s">
        <v>87</v>
      </c>
      <c r="D83" s="87"/>
      <c r="E83" s="88"/>
      <c r="F83" s="88">
        <v>41.13</v>
      </c>
      <c r="G83" s="22"/>
      <c r="H83" s="66"/>
      <c r="I83" s="68"/>
      <c r="J83" s="68"/>
      <c r="K83" s="90"/>
      <c r="L83" s="90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30" customHeight="1" x14ac:dyDescent="0.15">
      <c r="A84" s="16"/>
      <c r="B84" s="86" t="s">
        <v>15</v>
      </c>
      <c r="C84" s="87" t="s">
        <v>88</v>
      </c>
      <c r="D84" s="87"/>
      <c r="E84" s="88"/>
      <c r="F84" s="88">
        <v>172.24</v>
      </c>
      <c r="G84" s="22"/>
      <c r="H84" s="66"/>
      <c r="I84" s="68"/>
      <c r="J84" s="68"/>
      <c r="K84" s="90"/>
      <c r="L84" s="90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30" customHeight="1" x14ac:dyDescent="0.15">
      <c r="A85" s="16"/>
      <c r="B85" s="86" t="s">
        <v>49</v>
      </c>
      <c r="C85" s="87" t="s">
        <v>88</v>
      </c>
      <c r="D85" s="87"/>
      <c r="E85" s="88"/>
      <c r="F85" s="73">
        <v>-69.989999999999995</v>
      </c>
      <c r="G85" s="22"/>
      <c r="H85" s="66"/>
      <c r="I85" s="68"/>
      <c r="J85" s="68"/>
      <c r="K85" s="90"/>
      <c r="L85" s="90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30" customHeight="1" x14ac:dyDescent="0.15">
      <c r="A86" s="16"/>
      <c r="B86" s="66" t="s">
        <v>56</v>
      </c>
      <c r="C86" s="68" t="s">
        <v>57</v>
      </c>
      <c r="D86" s="68">
        <f>'Credit Card Purchases'!F43</f>
        <v>160.28</v>
      </c>
      <c r="E86" s="73"/>
      <c r="F86" s="73"/>
      <c r="G86" s="22"/>
      <c r="H86" s="66"/>
      <c r="I86" s="68"/>
      <c r="J86" s="68"/>
      <c r="K86" s="90"/>
      <c r="L86" s="90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30" customHeight="1" x14ac:dyDescent="0.15">
      <c r="A87" s="16"/>
      <c r="B87" s="71"/>
      <c r="C87" s="72"/>
      <c r="D87" s="72"/>
      <c r="E87" s="73"/>
      <c r="F87" s="73"/>
      <c r="G87" s="22"/>
      <c r="H87" s="66"/>
      <c r="I87" s="68"/>
      <c r="J87" s="68"/>
      <c r="K87" s="90"/>
      <c r="L87" s="90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30" customHeight="1" x14ac:dyDescent="0.15">
      <c r="A88" s="16"/>
      <c r="B88" s="92"/>
      <c r="C88" s="78" t="s">
        <v>66</v>
      </c>
      <c r="D88" s="80">
        <f t="shared" ref="D88:F88" si="5">SUM(D83:D87)</f>
        <v>160.28</v>
      </c>
      <c r="E88" s="80">
        <f t="shared" si="5"/>
        <v>0</v>
      </c>
      <c r="F88" s="80">
        <f t="shared" si="5"/>
        <v>143.38</v>
      </c>
      <c r="G88" s="22"/>
      <c r="H88" s="93"/>
      <c r="I88" s="78" t="s">
        <v>66</v>
      </c>
      <c r="J88" s="80">
        <f t="shared" ref="J88:L88" si="6">SUM(J76:J87)</f>
        <v>0</v>
      </c>
      <c r="K88" s="80">
        <f t="shared" si="6"/>
        <v>0</v>
      </c>
      <c r="L88" s="80">
        <f t="shared" si="6"/>
        <v>525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30" customHeight="1" x14ac:dyDescent="0.15">
      <c r="A89" s="16"/>
      <c r="B89" s="81">
        <v>300</v>
      </c>
      <c r="C89" s="78" t="s">
        <v>67</v>
      </c>
      <c r="D89" s="80">
        <f>SUM(D88:F88)</f>
        <v>303.65999999999997</v>
      </c>
      <c r="E89" s="80"/>
      <c r="F89" s="80"/>
      <c r="G89" s="22"/>
      <c r="H89" s="94">
        <v>700</v>
      </c>
      <c r="I89" s="78" t="s">
        <v>67</v>
      </c>
      <c r="J89" s="80">
        <f>SUM(J88:L88)</f>
        <v>525</v>
      </c>
      <c r="K89" s="80"/>
      <c r="L89" s="80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30" customHeight="1" x14ac:dyDescent="0.15">
      <c r="A90" s="16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30" customHeight="1" x14ac:dyDescent="0.15">
      <c r="A91" s="1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30" customHeight="1" x14ac:dyDescent="0.15">
      <c r="A92" s="1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30" customHeight="1" x14ac:dyDescent="0.15">
      <c r="A93" s="1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30" customHeight="1" x14ac:dyDescent="0.15">
      <c r="A94" s="1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30" customHeight="1" x14ac:dyDescent="0.15">
      <c r="A95" s="1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30" customHeight="1" x14ac:dyDescent="0.15">
      <c r="A96" s="1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30" customHeight="1" x14ac:dyDescent="0.15">
      <c r="A97" s="1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30" customHeight="1" x14ac:dyDescent="0.15">
      <c r="A98" s="1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30" customHeight="1" x14ac:dyDescent="0.15">
      <c r="A99" s="1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30" customHeight="1" x14ac:dyDescent="0.15">
      <c r="A100" s="1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30" customHeight="1" x14ac:dyDescent="0.15">
      <c r="A101" s="1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30" customHeight="1" x14ac:dyDescent="0.15">
      <c r="A102" s="1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30" customHeight="1" x14ac:dyDescent="0.15">
      <c r="A103" s="1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30" customHeight="1" x14ac:dyDescent="0.15">
      <c r="A104" s="1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30" customHeight="1" x14ac:dyDescent="0.15">
      <c r="A105" s="1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30" customHeight="1" x14ac:dyDescent="0.15">
      <c r="A106" s="1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30" customHeight="1" x14ac:dyDescent="0.15">
      <c r="A107" s="1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30" customHeight="1" x14ac:dyDescent="0.15">
      <c r="A108" s="1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30" customHeight="1" x14ac:dyDescent="0.15">
      <c r="A109" s="1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30" customHeight="1" x14ac:dyDescent="0.15">
      <c r="A110" s="1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30" customHeight="1" x14ac:dyDescent="0.15">
      <c r="A111" s="1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30" customHeight="1" x14ac:dyDescent="0.15">
      <c r="A112" s="1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30" customHeight="1" x14ac:dyDescent="0.15">
      <c r="A113" s="1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30" customHeight="1" x14ac:dyDescent="0.15">
      <c r="A114" s="1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30" customHeight="1" x14ac:dyDescent="0.15">
      <c r="A115" s="1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30" customHeight="1" x14ac:dyDescent="0.15">
      <c r="A116" s="1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30" customHeight="1" x14ac:dyDescent="0.15">
      <c r="A117" s="1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30" customHeight="1" x14ac:dyDescent="0.15">
      <c r="A118" s="1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30" customHeight="1" x14ac:dyDescent="0.15">
      <c r="A119" s="1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30" customHeight="1" x14ac:dyDescent="0.15">
      <c r="A120" s="1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30" customHeight="1" x14ac:dyDescent="0.15">
      <c r="A121" s="1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30" customHeight="1" x14ac:dyDescent="0.15">
      <c r="A122" s="1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30" customHeight="1" x14ac:dyDescent="0.15">
      <c r="A123" s="1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30" customHeight="1" x14ac:dyDescent="0.15">
      <c r="A124" s="1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30" customHeight="1" x14ac:dyDescent="0.15">
      <c r="A125" s="1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30" customHeight="1" x14ac:dyDescent="0.15">
      <c r="A126" s="1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30" customHeight="1" x14ac:dyDescent="0.15">
      <c r="A127" s="1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30" customHeight="1" x14ac:dyDescent="0.15">
      <c r="A128" s="1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30" customHeight="1" x14ac:dyDescent="0.15">
      <c r="A129" s="1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30" customHeight="1" x14ac:dyDescent="0.15">
      <c r="A130" s="1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30" customHeight="1" x14ac:dyDescent="0.15">
      <c r="A131" s="1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30" customHeight="1" x14ac:dyDescent="0.15">
      <c r="A132" s="1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30" customHeight="1" x14ac:dyDescent="0.15">
      <c r="A133" s="1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30" customHeight="1" x14ac:dyDescent="0.15">
      <c r="A134" s="1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30" customHeight="1" x14ac:dyDescent="0.15">
      <c r="A135" s="1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30" customHeight="1" x14ac:dyDescent="0.15">
      <c r="A136" s="1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30" customHeight="1" x14ac:dyDescent="0.15">
      <c r="A137" s="1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30" customHeight="1" x14ac:dyDescent="0.15">
      <c r="A138" s="1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30" customHeight="1" x14ac:dyDescent="0.15">
      <c r="A139" s="1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30" customHeight="1" x14ac:dyDescent="0.15">
      <c r="A140" s="1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30" customHeight="1" x14ac:dyDescent="0.15">
      <c r="A141" s="1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30" customHeight="1" x14ac:dyDescent="0.15">
      <c r="A142" s="1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30" customHeight="1" x14ac:dyDescent="0.15">
      <c r="A143" s="1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30" customHeight="1" x14ac:dyDescent="0.15">
      <c r="A144" s="1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30" customHeight="1" x14ac:dyDescent="0.15">
      <c r="A145" s="1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30" customHeight="1" x14ac:dyDescent="0.15">
      <c r="A146" s="1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30" customHeight="1" x14ac:dyDescent="0.15">
      <c r="A147" s="1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30" customHeight="1" x14ac:dyDescent="0.15">
      <c r="A148" s="1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30" customHeight="1" x14ac:dyDescent="0.15">
      <c r="A149" s="1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30" customHeight="1" x14ac:dyDescent="0.15">
      <c r="A150" s="1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30" customHeight="1" x14ac:dyDescent="0.15">
      <c r="A151" s="1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30" customHeight="1" x14ac:dyDescent="0.15">
      <c r="A152" s="1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30" customHeight="1" x14ac:dyDescent="0.15">
      <c r="A153" s="1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30" customHeight="1" x14ac:dyDescent="0.15">
      <c r="A154" s="1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30" customHeight="1" x14ac:dyDescent="0.15">
      <c r="A155" s="1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30" customHeight="1" x14ac:dyDescent="0.15">
      <c r="A156" s="1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30" customHeight="1" x14ac:dyDescent="0.15">
      <c r="A157" s="1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30" customHeight="1" x14ac:dyDescent="0.15">
      <c r="A158" s="1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30" customHeight="1" x14ac:dyDescent="0.15">
      <c r="A159" s="1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30" customHeight="1" x14ac:dyDescent="0.15">
      <c r="A160" s="1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30" customHeight="1" x14ac:dyDescent="0.15">
      <c r="A161" s="1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30" customHeight="1" x14ac:dyDescent="0.15">
      <c r="A162" s="1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30" customHeight="1" x14ac:dyDescent="0.15">
      <c r="A163" s="1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30" customHeight="1" x14ac:dyDescent="0.15">
      <c r="A164" s="1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30" customHeight="1" x14ac:dyDescent="0.15">
      <c r="A165" s="1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30" customHeight="1" x14ac:dyDescent="0.15">
      <c r="A166" s="1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30" customHeight="1" x14ac:dyDescent="0.15">
      <c r="A167" s="1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30" customHeight="1" x14ac:dyDescent="0.15">
      <c r="A168" s="1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30" customHeight="1" x14ac:dyDescent="0.15">
      <c r="A169" s="1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30" customHeight="1" x14ac:dyDescent="0.15">
      <c r="A170" s="1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30" customHeight="1" x14ac:dyDescent="0.15">
      <c r="A171" s="1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30" customHeight="1" x14ac:dyDescent="0.15">
      <c r="A172" s="1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30" customHeight="1" x14ac:dyDescent="0.15">
      <c r="A173" s="1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30" customHeight="1" x14ac:dyDescent="0.15">
      <c r="A174" s="1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30" customHeight="1" x14ac:dyDescent="0.15">
      <c r="A175" s="1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30" customHeight="1" x14ac:dyDescent="0.15">
      <c r="A176" s="1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30" customHeight="1" x14ac:dyDescent="0.15">
      <c r="A177" s="1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30" customHeight="1" x14ac:dyDescent="0.15">
      <c r="A178" s="1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30" customHeight="1" x14ac:dyDescent="0.15">
      <c r="A179" s="1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30" customHeight="1" x14ac:dyDescent="0.15">
      <c r="A180" s="1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30" customHeight="1" x14ac:dyDescent="0.15">
      <c r="A181" s="1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30" customHeight="1" x14ac:dyDescent="0.15">
      <c r="A182" s="1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30" customHeight="1" x14ac:dyDescent="0.15">
      <c r="A183" s="1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30" customHeight="1" x14ac:dyDescent="0.15">
      <c r="A184" s="1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30" customHeight="1" x14ac:dyDescent="0.15">
      <c r="A185" s="1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30" customHeight="1" x14ac:dyDescent="0.15">
      <c r="A186" s="1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30" customHeight="1" x14ac:dyDescent="0.15">
      <c r="A187" s="1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30" customHeight="1" x14ac:dyDescent="0.15">
      <c r="A188" s="1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30" customHeight="1" x14ac:dyDescent="0.15">
      <c r="A189" s="1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30" customHeight="1" x14ac:dyDescent="0.15">
      <c r="A190" s="1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30" customHeight="1" x14ac:dyDescent="0.15">
      <c r="A191" s="1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30" customHeight="1" x14ac:dyDescent="0.15">
      <c r="A192" s="1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30" customHeight="1" x14ac:dyDescent="0.15">
      <c r="A193" s="1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30" customHeight="1" x14ac:dyDescent="0.15">
      <c r="A194" s="1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30" customHeight="1" x14ac:dyDescent="0.15">
      <c r="A195" s="1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30" customHeight="1" x14ac:dyDescent="0.15">
      <c r="A196" s="1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30" customHeight="1" x14ac:dyDescent="0.15">
      <c r="A197" s="1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30" customHeight="1" x14ac:dyDescent="0.15">
      <c r="A198" s="1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30" customHeight="1" x14ac:dyDescent="0.15">
      <c r="A199" s="1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30" customHeight="1" x14ac:dyDescent="0.15">
      <c r="A200" s="1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30" customHeight="1" x14ac:dyDescent="0.15">
      <c r="A201" s="1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30" customHeight="1" x14ac:dyDescent="0.15">
      <c r="A202" s="1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30" customHeight="1" x14ac:dyDescent="0.15">
      <c r="A203" s="1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30" customHeight="1" x14ac:dyDescent="0.15">
      <c r="A204" s="1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30" customHeight="1" x14ac:dyDescent="0.15">
      <c r="A205" s="1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30" customHeight="1" x14ac:dyDescent="0.15">
      <c r="A206" s="1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30" customHeight="1" x14ac:dyDescent="0.15">
      <c r="A207" s="1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30" customHeight="1" x14ac:dyDescent="0.15">
      <c r="A208" s="1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30" customHeight="1" x14ac:dyDescent="0.15">
      <c r="A209" s="1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30" customHeight="1" x14ac:dyDescent="0.15">
      <c r="A210" s="1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30" customHeight="1" x14ac:dyDescent="0.15">
      <c r="A211" s="1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30" customHeight="1" x14ac:dyDescent="0.15">
      <c r="A212" s="1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30" customHeight="1" x14ac:dyDescent="0.15">
      <c r="A213" s="1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30" customHeight="1" x14ac:dyDescent="0.15">
      <c r="A214" s="1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30" customHeight="1" x14ac:dyDescent="0.15">
      <c r="A215" s="1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30" customHeight="1" x14ac:dyDescent="0.15">
      <c r="A216" s="1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30" customHeight="1" x14ac:dyDescent="0.15">
      <c r="A217" s="1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30" customHeight="1" x14ac:dyDescent="0.15">
      <c r="A218" s="1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30" customHeight="1" x14ac:dyDescent="0.15">
      <c r="A219" s="1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30" customHeight="1" x14ac:dyDescent="0.15">
      <c r="A220" s="1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30" customHeight="1" x14ac:dyDescent="0.15">
      <c r="A221" s="1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30" customHeight="1" x14ac:dyDescent="0.15">
      <c r="A222" s="1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30" customHeight="1" x14ac:dyDescent="0.15">
      <c r="A223" s="1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30" customHeight="1" x14ac:dyDescent="0.15">
      <c r="A224" s="1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30" customHeight="1" x14ac:dyDescent="0.15">
      <c r="A225" s="1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30" customHeight="1" x14ac:dyDescent="0.15">
      <c r="A226" s="1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30" customHeight="1" x14ac:dyDescent="0.15">
      <c r="A227" s="1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30" customHeight="1" x14ac:dyDescent="0.15">
      <c r="A228" s="1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30" customHeight="1" x14ac:dyDescent="0.15">
      <c r="A229" s="1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30" customHeight="1" x14ac:dyDescent="0.15">
      <c r="A230" s="1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30" customHeight="1" x14ac:dyDescent="0.15">
      <c r="A231" s="1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30" customHeight="1" x14ac:dyDescent="0.15">
      <c r="A232" s="1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30" customHeight="1" x14ac:dyDescent="0.15">
      <c r="A233" s="1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30" customHeight="1" x14ac:dyDescent="0.15">
      <c r="A234" s="1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30" customHeight="1" x14ac:dyDescent="0.15">
      <c r="A235" s="1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30" customHeight="1" x14ac:dyDescent="0.15">
      <c r="A236" s="1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30" customHeight="1" x14ac:dyDescent="0.15">
      <c r="A237" s="1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30" customHeight="1" x14ac:dyDescent="0.15">
      <c r="A238" s="1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30" customHeight="1" x14ac:dyDescent="0.15">
      <c r="A239" s="1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30" customHeight="1" x14ac:dyDescent="0.15">
      <c r="A240" s="1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30" customHeight="1" x14ac:dyDescent="0.15">
      <c r="A241" s="1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30" customHeight="1" x14ac:dyDescent="0.15">
      <c r="A242" s="1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30" customHeight="1" x14ac:dyDescent="0.15">
      <c r="A243" s="1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30" customHeight="1" x14ac:dyDescent="0.15">
      <c r="A244" s="1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30" customHeight="1" x14ac:dyDescent="0.15">
      <c r="A245" s="1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30" customHeight="1" x14ac:dyDescent="0.15">
      <c r="A246" s="1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30" customHeight="1" x14ac:dyDescent="0.15">
      <c r="A247" s="1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30" customHeight="1" x14ac:dyDescent="0.15">
      <c r="A248" s="1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30" customHeight="1" x14ac:dyDescent="0.15">
      <c r="A249" s="1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30" customHeight="1" x14ac:dyDescent="0.15">
      <c r="A250" s="1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30" customHeight="1" x14ac:dyDescent="0.15">
      <c r="A251" s="1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30" customHeight="1" x14ac:dyDescent="0.15">
      <c r="A252" s="1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30" customHeight="1" x14ac:dyDescent="0.15">
      <c r="A253" s="1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30" customHeight="1" x14ac:dyDescent="0.15">
      <c r="A254" s="1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30" customHeight="1" x14ac:dyDescent="0.15">
      <c r="A255" s="1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30" customHeight="1" x14ac:dyDescent="0.15">
      <c r="A256" s="1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30" customHeight="1" x14ac:dyDescent="0.15">
      <c r="A257" s="1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30" customHeight="1" x14ac:dyDescent="0.15">
      <c r="A258" s="1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30" customHeight="1" x14ac:dyDescent="0.15">
      <c r="A259" s="1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30" customHeight="1" x14ac:dyDescent="0.15">
      <c r="A260" s="1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30" customHeight="1" x14ac:dyDescent="0.15">
      <c r="A261" s="1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30" customHeight="1" x14ac:dyDescent="0.15">
      <c r="A262" s="1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30" customHeight="1" x14ac:dyDescent="0.15">
      <c r="A263" s="1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30" customHeight="1" x14ac:dyDescent="0.15">
      <c r="A264" s="1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30" customHeight="1" x14ac:dyDescent="0.15">
      <c r="A265" s="1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30" customHeight="1" x14ac:dyDescent="0.15">
      <c r="A266" s="1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30" customHeight="1" x14ac:dyDescent="0.15">
      <c r="A267" s="1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30" customHeight="1" x14ac:dyDescent="0.15">
      <c r="A268" s="1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30" customHeight="1" x14ac:dyDescent="0.15">
      <c r="A269" s="1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30" customHeight="1" x14ac:dyDescent="0.15">
      <c r="A270" s="1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30" customHeight="1" x14ac:dyDescent="0.15">
      <c r="A271" s="1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30" customHeight="1" x14ac:dyDescent="0.15">
      <c r="A272" s="1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30" customHeight="1" x14ac:dyDescent="0.15">
      <c r="A273" s="1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30" customHeight="1" x14ac:dyDescent="0.15">
      <c r="A274" s="1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30" customHeight="1" x14ac:dyDescent="0.15">
      <c r="A275" s="1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30" customHeight="1" x14ac:dyDescent="0.15">
      <c r="A276" s="1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30" customHeight="1" x14ac:dyDescent="0.15">
      <c r="A277" s="1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30" customHeight="1" x14ac:dyDescent="0.15">
      <c r="A278" s="1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30" customHeight="1" x14ac:dyDescent="0.15">
      <c r="A279" s="1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30" customHeight="1" x14ac:dyDescent="0.15">
      <c r="A280" s="1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30" customHeight="1" x14ac:dyDescent="0.15">
      <c r="A281" s="1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30" customHeight="1" x14ac:dyDescent="0.15">
      <c r="A282" s="1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30" customHeight="1" x14ac:dyDescent="0.15">
      <c r="A283" s="1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30" customHeight="1" x14ac:dyDescent="0.15">
      <c r="A284" s="1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30" customHeight="1" x14ac:dyDescent="0.15">
      <c r="A285" s="1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30" customHeight="1" x14ac:dyDescent="0.15">
      <c r="A286" s="1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30" customHeight="1" x14ac:dyDescent="0.15">
      <c r="A287" s="1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30" customHeight="1" x14ac:dyDescent="0.15">
      <c r="A288" s="1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30" customHeight="1" x14ac:dyDescent="0.15">
      <c r="A289" s="1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30" customHeight="1" x14ac:dyDescent="0.15">
      <c r="A290" s="1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30" customHeight="1" x14ac:dyDescent="0.15">
      <c r="A291" s="1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30" customHeight="1" x14ac:dyDescent="0.15">
      <c r="A292" s="1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30" customHeight="1" x14ac:dyDescent="0.15">
      <c r="A293" s="1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30" customHeight="1" x14ac:dyDescent="0.15">
      <c r="A294" s="1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30" customHeight="1" x14ac:dyDescent="0.15">
      <c r="A295" s="1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30" customHeight="1" x14ac:dyDescent="0.15">
      <c r="A296" s="1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30" customHeight="1" x14ac:dyDescent="0.15">
      <c r="A297" s="1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30" customHeight="1" x14ac:dyDescent="0.15">
      <c r="A298" s="1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30" customHeight="1" x14ac:dyDescent="0.15">
      <c r="A299" s="1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30" customHeight="1" x14ac:dyDescent="0.15">
      <c r="A300" s="1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30" customHeight="1" x14ac:dyDescent="0.15">
      <c r="A301" s="1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30" customHeight="1" x14ac:dyDescent="0.15">
      <c r="A302" s="1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30" customHeight="1" x14ac:dyDescent="0.15">
      <c r="A303" s="1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30" customHeight="1" x14ac:dyDescent="0.15">
      <c r="A304" s="1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30" customHeight="1" x14ac:dyDescent="0.15">
      <c r="A305" s="1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30" customHeight="1" x14ac:dyDescent="0.15">
      <c r="A306" s="1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30" customHeight="1" x14ac:dyDescent="0.15">
      <c r="A307" s="1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30" customHeight="1" x14ac:dyDescent="0.15">
      <c r="A308" s="1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30" customHeight="1" x14ac:dyDescent="0.15">
      <c r="A309" s="1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30" customHeight="1" x14ac:dyDescent="0.15">
      <c r="A310" s="1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30" customHeight="1" x14ac:dyDescent="0.15">
      <c r="A311" s="1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30" customHeight="1" x14ac:dyDescent="0.15">
      <c r="A312" s="1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30" customHeight="1" x14ac:dyDescent="0.15">
      <c r="A313" s="1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30" customHeight="1" x14ac:dyDescent="0.15">
      <c r="A314" s="1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30" customHeight="1" x14ac:dyDescent="0.15">
      <c r="A315" s="1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30" customHeight="1" x14ac:dyDescent="0.15">
      <c r="A316" s="1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30" customHeight="1" x14ac:dyDescent="0.15">
      <c r="A317" s="1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30" customHeight="1" x14ac:dyDescent="0.15">
      <c r="A318" s="1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30" customHeight="1" x14ac:dyDescent="0.15">
      <c r="A319" s="1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30" customHeight="1" x14ac:dyDescent="0.15">
      <c r="A320" s="1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30" customHeight="1" x14ac:dyDescent="0.15">
      <c r="A321" s="1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30" customHeight="1" x14ac:dyDescent="0.15">
      <c r="A322" s="1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30" customHeight="1" x14ac:dyDescent="0.15">
      <c r="A323" s="1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30" customHeight="1" x14ac:dyDescent="0.15">
      <c r="A324" s="1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30" customHeight="1" x14ac:dyDescent="0.15">
      <c r="A325" s="1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30" customHeight="1" x14ac:dyDescent="0.15">
      <c r="A326" s="1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30" customHeight="1" x14ac:dyDescent="0.15">
      <c r="A327" s="1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30" customHeight="1" x14ac:dyDescent="0.15">
      <c r="A328" s="1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30" customHeight="1" x14ac:dyDescent="0.15">
      <c r="A329" s="1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30" customHeight="1" x14ac:dyDescent="0.15">
      <c r="A330" s="1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30" customHeight="1" x14ac:dyDescent="0.15">
      <c r="A331" s="1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30" customHeight="1" x14ac:dyDescent="0.15">
      <c r="A332" s="1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30" customHeight="1" x14ac:dyDescent="0.15">
      <c r="A333" s="1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30" customHeight="1" x14ac:dyDescent="0.15">
      <c r="A334" s="1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30" customHeight="1" x14ac:dyDescent="0.15">
      <c r="A335" s="1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30" customHeight="1" x14ac:dyDescent="0.15">
      <c r="A336" s="1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30" customHeight="1" x14ac:dyDescent="0.15">
      <c r="A337" s="1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30" customHeight="1" x14ac:dyDescent="0.15">
      <c r="A338" s="1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30" customHeight="1" x14ac:dyDescent="0.15">
      <c r="A339" s="1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30" customHeight="1" x14ac:dyDescent="0.15">
      <c r="A340" s="1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30" customHeight="1" x14ac:dyDescent="0.15">
      <c r="A341" s="1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30" customHeight="1" x14ac:dyDescent="0.15">
      <c r="A342" s="1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30" customHeight="1" x14ac:dyDescent="0.15">
      <c r="A343" s="1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30" customHeight="1" x14ac:dyDescent="0.15">
      <c r="A344" s="1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30" customHeight="1" x14ac:dyDescent="0.15">
      <c r="A345" s="1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30" customHeight="1" x14ac:dyDescent="0.15">
      <c r="A346" s="1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30" customHeight="1" x14ac:dyDescent="0.15">
      <c r="A347" s="1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30" customHeight="1" x14ac:dyDescent="0.15">
      <c r="A348" s="1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30" customHeight="1" x14ac:dyDescent="0.15">
      <c r="A349" s="1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30" customHeight="1" x14ac:dyDescent="0.15">
      <c r="A350" s="1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30" customHeight="1" x14ac:dyDescent="0.15">
      <c r="A351" s="1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30" customHeight="1" x14ac:dyDescent="0.15">
      <c r="A352" s="1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30" customHeight="1" x14ac:dyDescent="0.15">
      <c r="A353" s="1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30" customHeight="1" x14ac:dyDescent="0.15">
      <c r="A354" s="1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30" customHeight="1" x14ac:dyDescent="0.15">
      <c r="A355" s="1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30" customHeight="1" x14ac:dyDescent="0.15">
      <c r="A356" s="1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30" customHeight="1" x14ac:dyDescent="0.15">
      <c r="A357" s="1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30" customHeight="1" x14ac:dyDescent="0.15">
      <c r="A358" s="1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30" customHeight="1" x14ac:dyDescent="0.15">
      <c r="A359" s="1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30" customHeight="1" x14ac:dyDescent="0.15">
      <c r="A360" s="1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30" customHeight="1" x14ac:dyDescent="0.15">
      <c r="A361" s="1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30" customHeight="1" x14ac:dyDescent="0.15">
      <c r="A362" s="1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30" customHeight="1" x14ac:dyDescent="0.15">
      <c r="A363" s="1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30" customHeight="1" x14ac:dyDescent="0.15">
      <c r="A364" s="1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30" customHeight="1" x14ac:dyDescent="0.15">
      <c r="A365" s="1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30" customHeight="1" x14ac:dyDescent="0.15">
      <c r="A366" s="1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30" customHeight="1" x14ac:dyDescent="0.15">
      <c r="A367" s="1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30" customHeight="1" x14ac:dyDescent="0.15">
      <c r="A368" s="1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30" customHeight="1" x14ac:dyDescent="0.15">
      <c r="A369" s="1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30" customHeight="1" x14ac:dyDescent="0.15">
      <c r="A370" s="1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30" customHeight="1" x14ac:dyDescent="0.15">
      <c r="A371" s="1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30" customHeight="1" x14ac:dyDescent="0.15">
      <c r="A372" s="1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30" customHeight="1" x14ac:dyDescent="0.15">
      <c r="A373" s="1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30" customHeight="1" x14ac:dyDescent="0.15">
      <c r="A374" s="1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30" customHeight="1" x14ac:dyDescent="0.15">
      <c r="A375" s="1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30" customHeight="1" x14ac:dyDescent="0.15">
      <c r="A376" s="1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30" customHeight="1" x14ac:dyDescent="0.15">
      <c r="A377" s="1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30" customHeight="1" x14ac:dyDescent="0.15">
      <c r="A378" s="1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30" customHeight="1" x14ac:dyDescent="0.15">
      <c r="A379" s="1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30" customHeight="1" x14ac:dyDescent="0.15">
      <c r="A380" s="1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30" customHeight="1" x14ac:dyDescent="0.15">
      <c r="A381" s="1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30" customHeight="1" x14ac:dyDescent="0.15">
      <c r="A382" s="1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30" customHeight="1" x14ac:dyDescent="0.15">
      <c r="A383" s="1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30" customHeight="1" x14ac:dyDescent="0.15">
      <c r="A384" s="1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30" customHeight="1" x14ac:dyDescent="0.15">
      <c r="A385" s="1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30" customHeight="1" x14ac:dyDescent="0.15">
      <c r="A386" s="1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30" customHeight="1" x14ac:dyDescent="0.15">
      <c r="A387" s="1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30" customHeight="1" x14ac:dyDescent="0.15">
      <c r="A388" s="1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30" customHeight="1" x14ac:dyDescent="0.15">
      <c r="A389" s="1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30" customHeight="1" x14ac:dyDescent="0.15">
      <c r="A390" s="1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30" customHeight="1" x14ac:dyDescent="0.15">
      <c r="A391" s="1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30" customHeight="1" x14ac:dyDescent="0.15">
      <c r="A392" s="1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30" customHeight="1" x14ac:dyDescent="0.15">
      <c r="A393" s="1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30" customHeight="1" x14ac:dyDescent="0.15">
      <c r="A394" s="1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30" customHeight="1" x14ac:dyDescent="0.15">
      <c r="A395" s="1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30" customHeight="1" x14ac:dyDescent="0.15">
      <c r="A396" s="1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30" customHeight="1" x14ac:dyDescent="0.15">
      <c r="A397" s="1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30" customHeight="1" x14ac:dyDescent="0.15">
      <c r="A398" s="1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30" customHeight="1" x14ac:dyDescent="0.15">
      <c r="A399" s="1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30" customHeight="1" x14ac:dyDescent="0.15">
      <c r="A400" s="1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30" customHeight="1" x14ac:dyDescent="0.15">
      <c r="A401" s="1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30" customHeight="1" x14ac:dyDescent="0.15">
      <c r="A402" s="1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30" customHeight="1" x14ac:dyDescent="0.15">
      <c r="A403" s="1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30" customHeight="1" x14ac:dyDescent="0.15">
      <c r="A404" s="1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30" customHeight="1" x14ac:dyDescent="0.15">
      <c r="A405" s="1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30" customHeight="1" x14ac:dyDescent="0.15">
      <c r="A406" s="1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30" customHeight="1" x14ac:dyDescent="0.15">
      <c r="A407" s="1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30" customHeight="1" x14ac:dyDescent="0.15">
      <c r="A408" s="1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30" customHeight="1" x14ac:dyDescent="0.15">
      <c r="A409" s="1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30" customHeight="1" x14ac:dyDescent="0.15">
      <c r="A410" s="1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30" customHeight="1" x14ac:dyDescent="0.15">
      <c r="A411" s="1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30" customHeight="1" x14ac:dyDescent="0.15">
      <c r="A412" s="1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30" customHeight="1" x14ac:dyDescent="0.15">
      <c r="A413" s="1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30" customHeight="1" x14ac:dyDescent="0.15">
      <c r="A414" s="1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30" customHeight="1" x14ac:dyDescent="0.15">
      <c r="A415" s="1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30" customHeight="1" x14ac:dyDescent="0.15">
      <c r="A416" s="1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30" customHeight="1" x14ac:dyDescent="0.15">
      <c r="A417" s="1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30" customHeight="1" x14ac:dyDescent="0.15">
      <c r="A418" s="1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30" customHeight="1" x14ac:dyDescent="0.15">
      <c r="A419" s="1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30" customHeight="1" x14ac:dyDescent="0.15">
      <c r="A420" s="1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30" customHeight="1" x14ac:dyDescent="0.15">
      <c r="A421" s="1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30" customHeight="1" x14ac:dyDescent="0.15">
      <c r="A422" s="1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30" customHeight="1" x14ac:dyDescent="0.15">
      <c r="A423" s="1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30" customHeight="1" x14ac:dyDescent="0.15">
      <c r="A424" s="1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30" customHeight="1" x14ac:dyDescent="0.15">
      <c r="A425" s="1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30" customHeight="1" x14ac:dyDescent="0.15">
      <c r="A426" s="1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30" customHeight="1" x14ac:dyDescent="0.15">
      <c r="A427" s="1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30" customHeight="1" x14ac:dyDescent="0.15">
      <c r="A428" s="1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30" customHeight="1" x14ac:dyDescent="0.15">
      <c r="A429" s="1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30" customHeight="1" x14ac:dyDescent="0.15">
      <c r="A430" s="1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30" customHeight="1" x14ac:dyDescent="0.15">
      <c r="A431" s="1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30" customHeight="1" x14ac:dyDescent="0.15">
      <c r="A432" s="1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30" customHeight="1" x14ac:dyDescent="0.15">
      <c r="A433" s="1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30" customHeight="1" x14ac:dyDescent="0.15">
      <c r="A434" s="1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30" customHeight="1" x14ac:dyDescent="0.15">
      <c r="A435" s="1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30" customHeight="1" x14ac:dyDescent="0.15">
      <c r="A436" s="1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30" customHeight="1" x14ac:dyDescent="0.15">
      <c r="A437" s="1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30" customHeight="1" x14ac:dyDescent="0.15">
      <c r="A438" s="1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30" customHeight="1" x14ac:dyDescent="0.15">
      <c r="A439" s="1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30" customHeight="1" x14ac:dyDescent="0.15">
      <c r="A440" s="1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30" customHeight="1" x14ac:dyDescent="0.15">
      <c r="A441" s="1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30" customHeight="1" x14ac:dyDescent="0.15">
      <c r="A442" s="1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30" customHeight="1" x14ac:dyDescent="0.15">
      <c r="A443" s="1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30" customHeight="1" x14ac:dyDescent="0.15">
      <c r="A444" s="1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30" customHeight="1" x14ac:dyDescent="0.15">
      <c r="A445" s="1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30" customHeight="1" x14ac:dyDescent="0.15">
      <c r="A446" s="1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30" customHeight="1" x14ac:dyDescent="0.15">
      <c r="A447" s="1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30" customHeight="1" x14ac:dyDescent="0.15">
      <c r="A448" s="1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30" customHeight="1" x14ac:dyDescent="0.15">
      <c r="A449" s="1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30" customHeight="1" x14ac:dyDescent="0.15">
      <c r="A450" s="1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30" customHeight="1" x14ac:dyDescent="0.15">
      <c r="A451" s="1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30" customHeight="1" x14ac:dyDescent="0.15">
      <c r="A452" s="1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30" customHeight="1" x14ac:dyDescent="0.15">
      <c r="A453" s="1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30" customHeight="1" x14ac:dyDescent="0.15">
      <c r="A454" s="1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30" customHeight="1" x14ac:dyDescent="0.15">
      <c r="A455" s="1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30" customHeight="1" x14ac:dyDescent="0.15">
      <c r="A456" s="1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30" customHeight="1" x14ac:dyDescent="0.15">
      <c r="A457" s="1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30" customHeight="1" x14ac:dyDescent="0.15">
      <c r="A458" s="1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30" customHeight="1" x14ac:dyDescent="0.15">
      <c r="A459" s="1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30" customHeight="1" x14ac:dyDescent="0.15">
      <c r="A460" s="1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30" customHeight="1" x14ac:dyDescent="0.15">
      <c r="A461" s="1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30" customHeight="1" x14ac:dyDescent="0.15">
      <c r="A462" s="1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30" customHeight="1" x14ac:dyDescent="0.15">
      <c r="A463" s="1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30" customHeight="1" x14ac:dyDescent="0.15">
      <c r="A464" s="1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30" customHeight="1" x14ac:dyDescent="0.15">
      <c r="A465" s="1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30" customHeight="1" x14ac:dyDescent="0.15">
      <c r="A466" s="1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30" customHeight="1" x14ac:dyDescent="0.15">
      <c r="A467" s="1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30" customHeight="1" x14ac:dyDescent="0.15">
      <c r="A468" s="1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30" customHeight="1" x14ac:dyDescent="0.15">
      <c r="A469" s="1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30" customHeight="1" x14ac:dyDescent="0.15">
      <c r="A470" s="1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30" customHeight="1" x14ac:dyDescent="0.15">
      <c r="A471" s="1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30" customHeight="1" x14ac:dyDescent="0.15">
      <c r="A472" s="1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30" customHeight="1" x14ac:dyDescent="0.15">
      <c r="A473" s="1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30" customHeight="1" x14ac:dyDescent="0.15">
      <c r="A474" s="1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30" customHeight="1" x14ac:dyDescent="0.15">
      <c r="A475" s="1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30" customHeight="1" x14ac:dyDescent="0.15">
      <c r="A476" s="1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30" customHeight="1" x14ac:dyDescent="0.15">
      <c r="A477" s="1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30" customHeight="1" x14ac:dyDescent="0.15">
      <c r="A478" s="1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30" customHeight="1" x14ac:dyDescent="0.15">
      <c r="A479" s="1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30" customHeight="1" x14ac:dyDescent="0.15">
      <c r="A480" s="1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30" customHeight="1" x14ac:dyDescent="0.15">
      <c r="A481" s="1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30" customHeight="1" x14ac:dyDescent="0.15">
      <c r="A482" s="1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30" customHeight="1" x14ac:dyDescent="0.15">
      <c r="A483" s="1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30" customHeight="1" x14ac:dyDescent="0.15">
      <c r="A484" s="1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30" customHeight="1" x14ac:dyDescent="0.15">
      <c r="A485" s="1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30" customHeight="1" x14ac:dyDescent="0.15">
      <c r="A486" s="1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30" customHeight="1" x14ac:dyDescent="0.15">
      <c r="A487" s="1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30" customHeight="1" x14ac:dyDescent="0.15">
      <c r="A488" s="1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30" customHeight="1" x14ac:dyDescent="0.15">
      <c r="A489" s="1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30" customHeight="1" x14ac:dyDescent="0.15">
      <c r="A490" s="1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30" customHeight="1" x14ac:dyDescent="0.15">
      <c r="A491" s="1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30" customHeight="1" x14ac:dyDescent="0.15">
      <c r="A492" s="1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30" customHeight="1" x14ac:dyDescent="0.15">
      <c r="A493" s="1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30" customHeight="1" x14ac:dyDescent="0.15">
      <c r="A494" s="1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30" customHeight="1" x14ac:dyDescent="0.15">
      <c r="A495" s="1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30" customHeight="1" x14ac:dyDescent="0.15">
      <c r="A496" s="1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30" customHeight="1" x14ac:dyDescent="0.15">
      <c r="A497" s="1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30" customHeight="1" x14ac:dyDescent="0.15">
      <c r="A498" s="1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30" customHeight="1" x14ac:dyDescent="0.15">
      <c r="A499" s="1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30" customHeight="1" x14ac:dyDescent="0.15">
      <c r="A500" s="1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30" customHeight="1" x14ac:dyDescent="0.15">
      <c r="A501" s="1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30" customHeight="1" x14ac:dyDescent="0.15">
      <c r="A502" s="1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30" customHeight="1" x14ac:dyDescent="0.15">
      <c r="A503" s="1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30" customHeight="1" x14ac:dyDescent="0.15">
      <c r="A504" s="1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30" customHeight="1" x14ac:dyDescent="0.15">
      <c r="A505" s="1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30" customHeight="1" x14ac:dyDescent="0.15">
      <c r="A506" s="1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30" customHeight="1" x14ac:dyDescent="0.15">
      <c r="A507" s="1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30" customHeight="1" x14ac:dyDescent="0.15">
      <c r="A508" s="1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30" customHeight="1" x14ac:dyDescent="0.15">
      <c r="A509" s="1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30" customHeight="1" x14ac:dyDescent="0.15">
      <c r="A510" s="1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30" customHeight="1" x14ac:dyDescent="0.15">
      <c r="A511" s="1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30" customHeight="1" x14ac:dyDescent="0.15">
      <c r="A512" s="1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30" customHeight="1" x14ac:dyDescent="0.15">
      <c r="A513" s="1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30" customHeight="1" x14ac:dyDescent="0.15">
      <c r="A514" s="1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30" customHeight="1" x14ac:dyDescent="0.15">
      <c r="A515" s="1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30" customHeight="1" x14ac:dyDescent="0.15">
      <c r="A516" s="1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30" customHeight="1" x14ac:dyDescent="0.15">
      <c r="A517" s="1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30" customHeight="1" x14ac:dyDescent="0.15">
      <c r="A518" s="1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30" customHeight="1" x14ac:dyDescent="0.15">
      <c r="A519" s="1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30" customHeight="1" x14ac:dyDescent="0.15">
      <c r="A520" s="1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30" customHeight="1" x14ac:dyDescent="0.15">
      <c r="A521" s="1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30" customHeight="1" x14ac:dyDescent="0.15">
      <c r="A522" s="1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30" customHeight="1" x14ac:dyDescent="0.15">
      <c r="A523" s="1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30" customHeight="1" x14ac:dyDescent="0.15">
      <c r="A524" s="1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30" customHeight="1" x14ac:dyDescent="0.15">
      <c r="A525" s="1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30" customHeight="1" x14ac:dyDescent="0.15">
      <c r="A526" s="1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30" customHeight="1" x14ac:dyDescent="0.15">
      <c r="A527" s="1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30" customHeight="1" x14ac:dyDescent="0.15">
      <c r="A528" s="1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30" customHeight="1" x14ac:dyDescent="0.15">
      <c r="A529" s="1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30" customHeight="1" x14ac:dyDescent="0.15">
      <c r="A530" s="1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30" customHeight="1" x14ac:dyDescent="0.15">
      <c r="A531" s="1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30" customHeight="1" x14ac:dyDescent="0.15">
      <c r="A532" s="1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30" customHeight="1" x14ac:dyDescent="0.15">
      <c r="A533" s="1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30" customHeight="1" x14ac:dyDescent="0.15">
      <c r="A534" s="1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30" customHeight="1" x14ac:dyDescent="0.15">
      <c r="A535" s="1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30" customHeight="1" x14ac:dyDescent="0.15">
      <c r="A536" s="1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30" customHeight="1" x14ac:dyDescent="0.15">
      <c r="A537" s="1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30" customHeight="1" x14ac:dyDescent="0.15">
      <c r="A538" s="1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30" customHeight="1" x14ac:dyDescent="0.15">
      <c r="A539" s="1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30" customHeight="1" x14ac:dyDescent="0.15">
      <c r="A540" s="1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30" customHeight="1" x14ac:dyDescent="0.15">
      <c r="A541" s="1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30" customHeight="1" x14ac:dyDescent="0.15">
      <c r="A542" s="1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30" customHeight="1" x14ac:dyDescent="0.15">
      <c r="A543" s="1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30" customHeight="1" x14ac:dyDescent="0.15">
      <c r="A544" s="1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30" customHeight="1" x14ac:dyDescent="0.15">
      <c r="A545" s="1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30" customHeight="1" x14ac:dyDescent="0.15">
      <c r="A546" s="1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30" customHeight="1" x14ac:dyDescent="0.15">
      <c r="A547" s="1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30" customHeight="1" x14ac:dyDescent="0.15">
      <c r="A548" s="1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30" customHeight="1" x14ac:dyDescent="0.15">
      <c r="A549" s="1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30" customHeight="1" x14ac:dyDescent="0.15">
      <c r="A550" s="1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30" customHeight="1" x14ac:dyDescent="0.15">
      <c r="A551" s="1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30" customHeight="1" x14ac:dyDescent="0.15">
      <c r="A552" s="1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30" customHeight="1" x14ac:dyDescent="0.15">
      <c r="A553" s="1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30" customHeight="1" x14ac:dyDescent="0.15">
      <c r="A554" s="1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30" customHeight="1" x14ac:dyDescent="0.15">
      <c r="A555" s="1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30" customHeight="1" x14ac:dyDescent="0.15">
      <c r="A556" s="1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30" customHeight="1" x14ac:dyDescent="0.15">
      <c r="A557" s="1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30" customHeight="1" x14ac:dyDescent="0.15">
      <c r="A558" s="1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30" customHeight="1" x14ac:dyDescent="0.15">
      <c r="A559" s="1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30" customHeight="1" x14ac:dyDescent="0.15">
      <c r="A560" s="1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30" customHeight="1" x14ac:dyDescent="0.15">
      <c r="A561" s="1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30" customHeight="1" x14ac:dyDescent="0.15">
      <c r="A562" s="1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30" customHeight="1" x14ac:dyDescent="0.15">
      <c r="A563" s="1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30" customHeight="1" x14ac:dyDescent="0.15">
      <c r="A564" s="1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30" customHeight="1" x14ac:dyDescent="0.15">
      <c r="A565" s="1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30" customHeight="1" x14ac:dyDescent="0.15">
      <c r="A566" s="1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30" customHeight="1" x14ac:dyDescent="0.15">
      <c r="A567" s="1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30" customHeight="1" x14ac:dyDescent="0.15">
      <c r="A568" s="1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30" customHeight="1" x14ac:dyDescent="0.15">
      <c r="A569" s="1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30" customHeight="1" x14ac:dyDescent="0.15">
      <c r="A570" s="1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30" customHeight="1" x14ac:dyDescent="0.15">
      <c r="A571" s="1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30" customHeight="1" x14ac:dyDescent="0.15">
      <c r="A572" s="1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30" customHeight="1" x14ac:dyDescent="0.15">
      <c r="A573" s="1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30" customHeight="1" x14ac:dyDescent="0.15">
      <c r="A574" s="1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30" customHeight="1" x14ac:dyDescent="0.15">
      <c r="A575" s="1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30" customHeight="1" x14ac:dyDescent="0.15">
      <c r="A576" s="1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30" customHeight="1" x14ac:dyDescent="0.15">
      <c r="A577" s="1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30" customHeight="1" x14ac:dyDescent="0.15">
      <c r="A578" s="1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30" customHeight="1" x14ac:dyDescent="0.15">
      <c r="A579" s="1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30" customHeight="1" x14ac:dyDescent="0.15">
      <c r="A580" s="1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30" customHeight="1" x14ac:dyDescent="0.15">
      <c r="A581" s="1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30" customHeight="1" x14ac:dyDescent="0.15">
      <c r="A582" s="1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30" customHeight="1" x14ac:dyDescent="0.15">
      <c r="A583" s="1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30" customHeight="1" x14ac:dyDescent="0.15">
      <c r="A584" s="1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30" customHeight="1" x14ac:dyDescent="0.15">
      <c r="A585" s="1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30" customHeight="1" x14ac:dyDescent="0.15">
      <c r="A586" s="1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30" customHeight="1" x14ac:dyDescent="0.15">
      <c r="A587" s="1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30" customHeight="1" x14ac:dyDescent="0.15">
      <c r="A588" s="1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30" customHeight="1" x14ac:dyDescent="0.15">
      <c r="A589" s="1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30" customHeight="1" x14ac:dyDescent="0.15">
      <c r="A590" s="1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30" customHeight="1" x14ac:dyDescent="0.15">
      <c r="A591" s="1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30" customHeight="1" x14ac:dyDescent="0.15">
      <c r="A592" s="1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30" customHeight="1" x14ac:dyDescent="0.15">
      <c r="A593" s="1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30" customHeight="1" x14ac:dyDescent="0.15">
      <c r="A594" s="1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30" customHeight="1" x14ac:dyDescent="0.15">
      <c r="A595" s="1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30" customHeight="1" x14ac:dyDescent="0.15">
      <c r="A596" s="1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30" customHeight="1" x14ac:dyDescent="0.15">
      <c r="A597" s="1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30" customHeight="1" x14ac:dyDescent="0.15">
      <c r="A598" s="1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30" customHeight="1" x14ac:dyDescent="0.15">
      <c r="A599" s="1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30" customHeight="1" x14ac:dyDescent="0.15">
      <c r="A600" s="1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30" customHeight="1" x14ac:dyDescent="0.15">
      <c r="A601" s="1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30" customHeight="1" x14ac:dyDescent="0.15">
      <c r="A602" s="1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30" customHeight="1" x14ac:dyDescent="0.15">
      <c r="A603" s="1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30" customHeight="1" x14ac:dyDescent="0.15">
      <c r="A604" s="1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30" customHeight="1" x14ac:dyDescent="0.15">
      <c r="A605" s="1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30" customHeight="1" x14ac:dyDescent="0.15">
      <c r="A606" s="1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30" customHeight="1" x14ac:dyDescent="0.15">
      <c r="A607" s="1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30" customHeight="1" x14ac:dyDescent="0.15">
      <c r="A608" s="1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30" customHeight="1" x14ac:dyDescent="0.15">
      <c r="A609" s="1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30" customHeight="1" x14ac:dyDescent="0.15">
      <c r="A610" s="1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30" customHeight="1" x14ac:dyDescent="0.15">
      <c r="A611" s="1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30" customHeight="1" x14ac:dyDescent="0.15">
      <c r="A612" s="1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30" customHeight="1" x14ac:dyDescent="0.15">
      <c r="A613" s="1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30" customHeight="1" x14ac:dyDescent="0.15">
      <c r="A614" s="1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30" customHeight="1" x14ac:dyDescent="0.15">
      <c r="A615" s="1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30" customHeight="1" x14ac:dyDescent="0.15">
      <c r="A616" s="1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30" customHeight="1" x14ac:dyDescent="0.15">
      <c r="A617" s="1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30" customHeight="1" x14ac:dyDescent="0.15">
      <c r="A618" s="1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30" customHeight="1" x14ac:dyDescent="0.15">
      <c r="A619" s="1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30" customHeight="1" x14ac:dyDescent="0.15">
      <c r="A620" s="1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30" customHeight="1" x14ac:dyDescent="0.15">
      <c r="A621" s="1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30" customHeight="1" x14ac:dyDescent="0.15">
      <c r="A622" s="1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30" customHeight="1" x14ac:dyDescent="0.15">
      <c r="A623" s="1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30" customHeight="1" x14ac:dyDescent="0.15">
      <c r="A624" s="1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30" customHeight="1" x14ac:dyDescent="0.15">
      <c r="A625" s="1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30" customHeight="1" x14ac:dyDescent="0.15">
      <c r="A626" s="1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30" customHeight="1" x14ac:dyDescent="0.15">
      <c r="A627" s="1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30" customHeight="1" x14ac:dyDescent="0.15">
      <c r="A628" s="1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30" customHeight="1" x14ac:dyDescent="0.15">
      <c r="A629" s="1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30" customHeight="1" x14ac:dyDescent="0.15">
      <c r="A630" s="1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30" customHeight="1" x14ac:dyDescent="0.15">
      <c r="A631" s="1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30" customHeight="1" x14ac:dyDescent="0.15">
      <c r="A632" s="1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30" customHeight="1" x14ac:dyDescent="0.15">
      <c r="A633" s="1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30" customHeight="1" x14ac:dyDescent="0.15">
      <c r="A634" s="1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30" customHeight="1" x14ac:dyDescent="0.15">
      <c r="A635" s="1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30" customHeight="1" x14ac:dyDescent="0.15">
      <c r="A636" s="1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30" customHeight="1" x14ac:dyDescent="0.15">
      <c r="A637" s="1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30" customHeight="1" x14ac:dyDescent="0.15">
      <c r="A638" s="1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30" customHeight="1" x14ac:dyDescent="0.15">
      <c r="A639" s="1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30" customHeight="1" x14ac:dyDescent="0.15">
      <c r="A640" s="1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30" customHeight="1" x14ac:dyDescent="0.15">
      <c r="A641" s="1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30" customHeight="1" x14ac:dyDescent="0.15">
      <c r="A642" s="1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30" customHeight="1" x14ac:dyDescent="0.15">
      <c r="A643" s="1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30" customHeight="1" x14ac:dyDescent="0.15">
      <c r="A644" s="1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30" customHeight="1" x14ac:dyDescent="0.15">
      <c r="A645" s="1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30" customHeight="1" x14ac:dyDescent="0.15">
      <c r="A646" s="1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30" customHeight="1" x14ac:dyDescent="0.15">
      <c r="A647" s="1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30" customHeight="1" x14ac:dyDescent="0.15">
      <c r="A648" s="1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30" customHeight="1" x14ac:dyDescent="0.15">
      <c r="A649" s="1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30" customHeight="1" x14ac:dyDescent="0.15">
      <c r="A650" s="1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30" customHeight="1" x14ac:dyDescent="0.15">
      <c r="A651" s="1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30" customHeight="1" x14ac:dyDescent="0.15">
      <c r="A652" s="1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30" customHeight="1" x14ac:dyDescent="0.15">
      <c r="A653" s="1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30" customHeight="1" x14ac:dyDescent="0.15">
      <c r="A654" s="1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30" customHeight="1" x14ac:dyDescent="0.15">
      <c r="A655" s="1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30" customHeight="1" x14ac:dyDescent="0.15">
      <c r="A656" s="1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30" customHeight="1" x14ac:dyDescent="0.15">
      <c r="A657" s="1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30" customHeight="1" x14ac:dyDescent="0.15">
      <c r="A658" s="1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30" customHeight="1" x14ac:dyDescent="0.15">
      <c r="A659" s="1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30" customHeight="1" x14ac:dyDescent="0.15">
      <c r="A660" s="1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30" customHeight="1" x14ac:dyDescent="0.15">
      <c r="A661" s="1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30" customHeight="1" x14ac:dyDescent="0.15">
      <c r="A662" s="1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30" customHeight="1" x14ac:dyDescent="0.15">
      <c r="A663" s="1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30" customHeight="1" x14ac:dyDescent="0.15">
      <c r="A664" s="1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30" customHeight="1" x14ac:dyDescent="0.15">
      <c r="A665" s="1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30" customHeight="1" x14ac:dyDescent="0.15">
      <c r="A666" s="1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30" customHeight="1" x14ac:dyDescent="0.15">
      <c r="A667" s="1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30" customHeight="1" x14ac:dyDescent="0.15">
      <c r="A668" s="1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30" customHeight="1" x14ac:dyDescent="0.15">
      <c r="A669" s="1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30" customHeight="1" x14ac:dyDescent="0.15">
      <c r="A670" s="1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30" customHeight="1" x14ac:dyDescent="0.15">
      <c r="A671" s="1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30" customHeight="1" x14ac:dyDescent="0.15">
      <c r="A672" s="1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30" customHeight="1" x14ac:dyDescent="0.15">
      <c r="A673" s="1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30" customHeight="1" x14ac:dyDescent="0.15">
      <c r="A674" s="1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30" customHeight="1" x14ac:dyDescent="0.15">
      <c r="A675" s="1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30" customHeight="1" x14ac:dyDescent="0.15">
      <c r="A676" s="1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30" customHeight="1" x14ac:dyDescent="0.15">
      <c r="A677" s="1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30" customHeight="1" x14ac:dyDescent="0.15">
      <c r="A678" s="1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30" customHeight="1" x14ac:dyDescent="0.15">
      <c r="A679" s="1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30" customHeight="1" x14ac:dyDescent="0.15">
      <c r="A680" s="1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30" customHeight="1" x14ac:dyDescent="0.15">
      <c r="A681" s="1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30" customHeight="1" x14ac:dyDescent="0.15">
      <c r="A682" s="1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30" customHeight="1" x14ac:dyDescent="0.15">
      <c r="A683" s="1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30" customHeight="1" x14ac:dyDescent="0.15">
      <c r="A684" s="1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30" customHeight="1" x14ac:dyDescent="0.15">
      <c r="A685" s="1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30" customHeight="1" x14ac:dyDescent="0.15">
      <c r="A686" s="1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30" customHeight="1" x14ac:dyDescent="0.15">
      <c r="A687" s="1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30" customHeight="1" x14ac:dyDescent="0.15">
      <c r="A688" s="1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30" customHeight="1" x14ac:dyDescent="0.15">
      <c r="A689" s="1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30" customHeight="1" x14ac:dyDescent="0.15">
      <c r="A690" s="1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30" customHeight="1" x14ac:dyDescent="0.15">
      <c r="A691" s="1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30" customHeight="1" x14ac:dyDescent="0.15">
      <c r="A692" s="1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30" customHeight="1" x14ac:dyDescent="0.15">
      <c r="A693" s="1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30" customHeight="1" x14ac:dyDescent="0.15">
      <c r="A694" s="1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30" customHeight="1" x14ac:dyDescent="0.15">
      <c r="A695" s="1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30" customHeight="1" x14ac:dyDescent="0.15">
      <c r="A696" s="1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30" customHeight="1" x14ac:dyDescent="0.15">
      <c r="A697" s="1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30" customHeight="1" x14ac:dyDescent="0.15">
      <c r="A698" s="1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30" customHeight="1" x14ac:dyDescent="0.15">
      <c r="A699" s="1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30" customHeight="1" x14ac:dyDescent="0.15">
      <c r="A700" s="1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30" customHeight="1" x14ac:dyDescent="0.15">
      <c r="A701" s="1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30" customHeight="1" x14ac:dyDescent="0.15">
      <c r="A702" s="1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30" customHeight="1" x14ac:dyDescent="0.15">
      <c r="A703" s="1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30" customHeight="1" x14ac:dyDescent="0.15">
      <c r="A704" s="1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30" customHeight="1" x14ac:dyDescent="0.15">
      <c r="A705" s="1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30" customHeight="1" x14ac:dyDescent="0.15">
      <c r="A706" s="1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30" customHeight="1" x14ac:dyDescent="0.15">
      <c r="A707" s="1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30" customHeight="1" x14ac:dyDescent="0.15">
      <c r="A708" s="1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30" customHeight="1" x14ac:dyDescent="0.15">
      <c r="A709" s="1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30" customHeight="1" x14ac:dyDescent="0.15">
      <c r="A710" s="1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30" customHeight="1" x14ac:dyDescent="0.15">
      <c r="A711" s="1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30" customHeight="1" x14ac:dyDescent="0.15">
      <c r="A712" s="1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30" customHeight="1" x14ac:dyDescent="0.15">
      <c r="A713" s="1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30" customHeight="1" x14ac:dyDescent="0.15">
      <c r="A714" s="1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30" customHeight="1" x14ac:dyDescent="0.15">
      <c r="A715" s="1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30" customHeight="1" x14ac:dyDescent="0.15">
      <c r="A716" s="1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30" customHeight="1" x14ac:dyDescent="0.15">
      <c r="A717" s="1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30" customHeight="1" x14ac:dyDescent="0.15">
      <c r="A718" s="1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30" customHeight="1" x14ac:dyDescent="0.15">
      <c r="A719" s="1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30" customHeight="1" x14ac:dyDescent="0.15">
      <c r="A720" s="1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30" customHeight="1" x14ac:dyDescent="0.15">
      <c r="A721" s="1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30" customHeight="1" x14ac:dyDescent="0.15">
      <c r="A722" s="1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30" customHeight="1" x14ac:dyDescent="0.15">
      <c r="A723" s="1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30" customHeight="1" x14ac:dyDescent="0.15">
      <c r="A724" s="1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30" customHeight="1" x14ac:dyDescent="0.15">
      <c r="A725" s="1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30" customHeight="1" x14ac:dyDescent="0.15">
      <c r="A726" s="1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30" customHeight="1" x14ac:dyDescent="0.15">
      <c r="A727" s="1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30" customHeight="1" x14ac:dyDescent="0.15">
      <c r="A728" s="1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30" customHeight="1" x14ac:dyDescent="0.15">
      <c r="A729" s="1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30" customHeight="1" x14ac:dyDescent="0.15">
      <c r="A730" s="1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30" customHeight="1" x14ac:dyDescent="0.15">
      <c r="A731" s="1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30" customHeight="1" x14ac:dyDescent="0.15">
      <c r="A732" s="1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30" customHeight="1" x14ac:dyDescent="0.15">
      <c r="A733" s="1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30" customHeight="1" x14ac:dyDescent="0.15">
      <c r="A734" s="1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30" customHeight="1" x14ac:dyDescent="0.15">
      <c r="A735" s="1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30" customHeight="1" x14ac:dyDescent="0.15">
      <c r="A736" s="1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30" customHeight="1" x14ac:dyDescent="0.15">
      <c r="A737" s="1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30" customHeight="1" x14ac:dyDescent="0.15">
      <c r="A738" s="1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30" customHeight="1" x14ac:dyDescent="0.15">
      <c r="A739" s="1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30" customHeight="1" x14ac:dyDescent="0.15">
      <c r="A740" s="1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30" customHeight="1" x14ac:dyDescent="0.15">
      <c r="A741" s="1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30" customHeight="1" x14ac:dyDescent="0.15">
      <c r="A742" s="1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30" customHeight="1" x14ac:dyDescent="0.15">
      <c r="A743" s="1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30" customHeight="1" x14ac:dyDescent="0.15">
      <c r="A744" s="1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30" customHeight="1" x14ac:dyDescent="0.15">
      <c r="A745" s="1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30" customHeight="1" x14ac:dyDescent="0.15">
      <c r="A746" s="1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30" customHeight="1" x14ac:dyDescent="0.15">
      <c r="A747" s="1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30" customHeight="1" x14ac:dyDescent="0.15">
      <c r="A748" s="1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30" customHeight="1" x14ac:dyDescent="0.15">
      <c r="A749" s="1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30" customHeight="1" x14ac:dyDescent="0.15">
      <c r="A750" s="1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30" customHeight="1" x14ac:dyDescent="0.15">
      <c r="A751" s="1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30" customHeight="1" x14ac:dyDescent="0.15">
      <c r="A752" s="1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30" customHeight="1" x14ac:dyDescent="0.15">
      <c r="A753" s="1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30" customHeight="1" x14ac:dyDescent="0.15">
      <c r="A754" s="1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30" customHeight="1" x14ac:dyDescent="0.15">
      <c r="A755" s="1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30" customHeight="1" x14ac:dyDescent="0.15">
      <c r="A756" s="1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30" customHeight="1" x14ac:dyDescent="0.15">
      <c r="A757" s="1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30" customHeight="1" x14ac:dyDescent="0.15">
      <c r="A758" s="1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30" customHeight="1" x14ac:dyDescent="0.15">
      <c r="A759" s="1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30" customHeight="1" x14ac:dyDescent="0.15">
      <c r="A760" s="1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30" customHeight="1" x14ac:dyDescent="0.15">
      <c r="A761" s="1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30" customHeight="1" x14ac:dyDescent="0.15">
      <c r="A762" s="1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30" customHeight="1" x14ac:dyDescent="0.15">
      <c r="A763" s="1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30" customHeight="1" x14ac:dyDescent="0.15">
      <c r="A764" s="1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30" customHeight="1" x14ac:dyDescent="0.15">
      <c r="A765" s="1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30" customHeight="1" x14ac:dyDescent="0.15">
      <c r="A766" s="1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30" customHeight="1" x14ac:dyDescent="0.15">
      <c r="A767" s="1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30" customHeight="1" x14ac:dyDescent="0.15">
      <c r="A768" s="1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30" customHeight="1" x14ac:dyDescent="0.15">
      <c r="A769" s="1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30" customHeight="1" x14ac:dyDescent="0.15">
      <c r="A770" s="1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30" customHeight="1" x14ac:dyDescent="0.15">
      <c r="A771" s="1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30" customHeight="1" x14ac:dyDescent="0.15">
      <c r="A772" s="1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30" customHeight="1" x14ac:dyDescent="0.15">
      <c r="A773" s="1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30" customHeight="1" x14ac:dyDescent="0.15">
      <c r="A774" s="1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30" customHeight="1" x14ac:dyDescent="0.15">
      <c r="A775" s="1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30" customHeight="1" x14ac:dyDescent="0.15">
      <c r="A776" s="1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30" customHeight="1" x14ac:dyDescent="0.15">
      <c r="A777" s="1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30" customHeight="1" x14ac:dyDescent="0.15">
      <c r="A778" s="1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30" customHeight="1" x14ac:dyDescent="0.15">
      <c r="A779" s="1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30" customHeight="1" x14ac:dyDescent="0.15">
      <c r="A780" s="1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30" customHeight="1" x14ac:dyDescent="0.15">
      <c r="A781" s="1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30" customHeight="1" x14ac:dyDescent="0.15">
      <c r="A782" s="1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30" customHeight="1" x14ac:dyDescent="0.15">
      <c r="A783" s="1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30" customHeight="1" x14ac:dyDescent="0.15">
      <c r="A784" s="1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30" customHeight="1" x14ac:dyDescent="0.15">
      <c r="A785" s="1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30" customHeight="1" x14ac:dyDescent="0.15">
      <c r="A786" s="1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30" customHeight="1" x14ac:dyDescent="0.15">
      <c r="A787" s="1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30" customHeight="1" x14ac:dyDescent="0.15">
      <c r="A788" s="1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30" customHeight="1" x14ac:dyDescent="0.15">
      <c r="A789" s="1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30" customHeight="1" x14ac:dyDescent="0.15">
      <c r="A790" s="1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30" customHeight="1" x14ac:dyDescent="0.15">
      <c r="A791" s="1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30" customHeight="1" x14ac:dyDescent="0.15">
      <c r="A792" s="1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30" customHeight="1" x14ac:dyDescent="0.15">
      <c r="A793" s="1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30" customHeight="1" x14ac:dyDescent="0.15">
      <c r="A794" s="1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30" customHeight="1" x14ac:dyDescent="0.15">
      <c r="A795" s="1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30" customHeight="1" x14ac:dyDescent="0.15">
      <c r="A796" s="1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30" customHeight="1" x14ac:dyDescent="0.15">
      <c r="A797" s="1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30" customHeight="1" x14ac:dyDescent="0.15">
      <c r="A798" s="1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30" customHeight="1" x14ac:dyDescent="0.15">
      <c r="A799" s="1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30" customHeight="1" x14ac:dyDescent="0.15">
      <c r="A800" s="1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30" customHeight="1" x14ac:dyDescent="0.15">
      <c r="A801" s="1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30" customHeight="1" x14ac:dyDescent="0.15">
      <c r="A802" s="1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30" customHeight="1" x14ac:dyDescent="0.15">
      <c r="A803" s="1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30" customHeight="1" x14ac:dyDescent="0.15">
      <c r="A804" s="1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30" customHeight="1" x14ac:dyDescent="0.15">
      <c r="A805" s="1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30" customHeight="1" x14ac:dyDescent="0.15">
      <c r="A806" s="1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30" customHeight="1" x14ac:dyDescent="0.15">
      <c r="A807" s="1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30" customHeight="1" x14ac:dyDescent="0.15">
      <c r="A808" s="1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30" customHeight="1" x14ac:dyDescent="0.15">
      <c r="A809" s="1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30" customHeight="1" x14ac:dyDescent="0.15">
      <c r="A810" s="1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30" customHeight="1" x14ac:dyDescent="0.15">
      <c r="A811" s="1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30" customHeight="1" x14ac:dyDescent="0.15">
      <c r="A812" s="1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30" customHeight="1" x14ac:dyDescent="0.15">
      <c r="A813" s="1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30" customHeight="1" x14ac:dyDescent="0.15">
      <c r="A814" s="1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30" customHeight="1" x14ac:dyDescent="0.15">
      <c r="A815" s="1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30" customHeight="1" x14ac:dyDescent="0.15">
      <c r="A816" s="1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30" customHeight="1" x14ac:dyDescent="0.15">
      <c r="A817" s="1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30" customHeight="1" x14ac:dyDescent="0.15">
      <c r="A818" s="1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30" customHeight="1" x14ac:dyDescent="0.15">
      <c r="A819" s="1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30" customHeight="1" x14ac:dyDescent="0.15">
      <c r="A820" s="1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30" customHeight="1" x14ac:dyDescent="0.15">
      <c r="A821" s="1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30" customHeight="1" x14ac:dyDescent="0.15">
      <c r="A822" s="1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30" customHeight="1" x14ac:dyDescent="0.15">
      <c r="A823" s="1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30" customHeight="1" x14ac:dyDescent="0.15">
      <c r="A824" s="1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30" customHeight="1" x14ac:dyDescent="0.15">
      <c r="A825" s="1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30" customHeight="1" x14ac:dyDescent="0.15">
      <c r="A826" s="1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30" customHeight="1" x14ac:dyDescent="0.15">
      <c r="A827" s="1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30" customHeight="1" x14ac:dyDescent="0.15">
      <c r="A828" s="1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30" customHeight="1" x14ac:dyDescent="0.15">
      <c r="A829" s="1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30" customHeight="1" x14ac:dyDescent="0.15">
      <c r="A830" s="1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30" customHeight="1" x14ac:dyDescent="0.15">
      <c r="A831" s="1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30" customHeight="1" x14ac:dyDescent="0.15">
      <c r="A832" s="1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30" customHeight="1" x14ac:dyDescent="0.15">
      <c r="A833" s="1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30" customHeight="1" x14ac:dyDescent="0.15">
      <c r="A834" s="1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30" customHeight="1" x14ac:dyDescent="0.15">
      <c r="A835" s="1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30" customHeight="1" x14ac:dyDescent="0.15">
      <c r="A836" s="1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30" customHeight="1" x14ac:dyDescent="0.15">
      <c r="A837" s="1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30" customHeight="1" x14ac:dyDescent="0.15">
      <c r="A838" s="1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30" customHeight="1" x14ac:dyDescent="0.15">
      <c r="A839" s="1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30" customHeight="1" x14ac:dyDescent="0.15">
      <c r="A840" s="1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30" customHeight="1" x14ac:dyDescent="0.15">
      <c r="A841" s="1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30" customHeight="1" x14ac:dyDescent="0.15">
      <c r="A842" s="1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30" customHeight="1" x14ac:dyDescent="0.15">
      <c r="A843" s="1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30" customHeight="1" x14ac:dyDescent="0.15">
      <c r="A844" s="1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30" customHeight="1" x14ac:dyDescent="0.15">
      <c r="A845" s="1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30" customHeight="1" x14ac:dyDescent="0.15">
      <c r="A846" s="1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30" customHeight="1" x14ac:dyDescent="0.15">
      <c r="A847" s="1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30" customHeight="1" x14ac:dyDescent="0.15">
      <c r="A848" s="1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30" customHeight="1" x14ac:dyDescent="0.15">
      <c r="A849" s="1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30" customHeight="1" x14ac:dyDescent="0.15">
      <c r="A850" s="1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30" customHeight="1" x14ac:dyDescent="0.15">
      <c r="A851" s="1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30" customHeight="1" x14ac:dyDescent="0.15">
      <c r="A852" s="1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30" customHeight="1" x14ac:dyDescent="0.15">
      <c r="A853" s="1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30" customHeight="1" x14ac:dyDescent="0.15">
      <c r="A854" s="1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30" customHeight="1" x14ac:dyDescent="0.15">
      <c r="A855" s="1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30" customHeight="1" x14ac:dyDescent="0.15">
      <c r="A856" s="1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30" customHeight="1" x14ac:dyDescent="0.15">
      <c r="A857" s="1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30" customHeight="1" x14ac:dyDescent="0.15">
      <c r="A858" s="1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30" customHeight="1" x14ac:dyDescent="0.15">
      <c r="A859" s="1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30" customHeight="1" x14ac:dyDescent="0.15">
      <c r="A860" s="1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30" customHeight="1" x14ac:dyDescent="0.15">
      <c r="A861" s="1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30" customHeight="1" x14ac:dyDescent="0.15">
      <c r="A862" s="1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30" customHeight="1" x14ac:dyDescent="0.15">
      <c r="A863" s="1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30" customHeight="1" x14ac:dyDescent="0.15">
      <c r="A864" s="1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30" customHeight="1" x14ac:dyDescent="0.15">
      <c r="A865" s="1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30" customHeight="1" x14ac:dyDescent="0.15">
      <c r="A866" s="1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30" customHeight="1" x14ac:dyDescent="0.15">
      <c r="A867" s="1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30" customHeight="1" x14ac:dyDescent="0.15">
      <c r="A868" s="1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30" customHeight="1" x14ac:dyDescent="0.15">
      <c r="A869" s="1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30" customHeight="1" x14ac:dyDescent="0.15">
      <c r="A870" s="1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30" customHeight="1" x14ac:dyDescent="0.15">
      <c r="A871" s="1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30" customHeight="1" x14ac:dyDescent="0.15">
      <c r="A872" s="1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30" customHeight="1" x14ac:dyDescent="0.15">
      <c r="A873" s="1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30" customHeight="1" x14ac:dyDescent="0.15">
      <c r="A874" s="1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30" customHeight="1" x14ac:dyDescent="0.15">
      <c r="A875" s="1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30" customHeight="1" x14ac:dyDescent="0.15">
      <c r="A876" s="1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30" customHeight="1" x14ac:dyDescent="0.15">
      <c r="A877" s="1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30" customHeight="1" x14ac:dyDescent="0.15">
      <c r="A878" s="1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30" customHeight="1" x14ac:dyDescent="0.15">
      <c r="A879" s="1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30" customHeight="1" x14ac:dyDescent="0.15">
      <c r="A880" s="1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30" customHeight="1" x14ac:dyDescent="0.15">
      <c r="A881" s="1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30" customHeight="1" x14ac:dyDescent="0.15">
      <c r="A882" s="1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30" customHeight="1" x14ac:dyDescent="0.15">
      <c r="A883" s="1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30" customHeight="1" x14ac:dyDescent="0.15">
      <c r="A884" s="1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30" customHeight="1" x14ac:dyDescent="0.15">
      <c r="A885" s="1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30" customHeight="1" x14ac:dyDescent="0.15">
      <c r="A886" s="1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30" customHeight="1" x14ac:dyDescent="0.15">
      <c r="A887" s="1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30" customHeight="1" x14ac:dyDescent="0.15">
      <c r="A888" s="1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30" customHeight="1" x14ac:dyDescent="0.15">
      <c r="A889" s="1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30" customHeight="1" x14ac:dyDescent="0.15">
      <c r="A890" s="1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30" customHeight="1" x14ac:dyDescent="0.15">
      <c r="A891" s="1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30" customHeight="1" x14ac:dyDescent="0.15">
      <c r="A892" s="1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30" customHeight="1" x14ac:dyDescent="0.15">
      <c r="A893" s="1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30" customHeight="1" x14ac:dyDescent="0.15">
      <c r="A894" s="1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30" customHeight="1" x14ac:dyDescent="0.15">
      <c r="A895" s="1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30" customHeight="1" x14ac:dyDescent="0.15">
      <c r="A896" s="1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30" customHeight="1" x14ac:dyDescent="0.15">
      <c r="A897" s="1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30" customHeight="1" x14ac:dyDescent="0.15">
      <c r="A898" s="1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30" customHeight="1" x14ac:dyDescent="0.15">
      <c r="A899" s="1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30" customHeight="1" x14ac:dyDescent="0.15">
      <c r="A900" s="1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30" customHeight="1" x14ac:dyDescent="0.15">
      <c r="A901" s="1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30" customHeight="1" x14ac:dyDescent="0.15">
      <c r="A902" s="1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30" customHeight="1" x14ac:dyDescent="0.15">
      <c r="A903" s="1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30" customHeight="1" x14ac:dyDescent="0.15">
      <c r="A904" s="1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30" customHeight="1" x14ac:dyDescent="0.15">
      <c r="A905" s="1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30" customHeight="1" x14ac:dyDescent="0.15">
      <c r="A906" s="1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30" customHeight="1" x14ac:dyDescent="0.15">
      <c r="A907" s="1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30" customHeight="1" x14ac:dyDescent="0.15">
      <c r="A908" s="1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30" customHeight="1" x14ac:dyDescent="0.15">
      <c r="A909" s="1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30" customHeight="1" x14ac:dyDescent="0.15">
      <c r="A910" s="1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30" customHeight="1" x14ac:dyDescent="0.15">
      <c r="A911" s="1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30" customHeight="1" x14ac:dyDescent="0.15">
      <c r="A912" s="1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30" customHeight="1" x14ac:dyDescent="0.15">
      <c r="A913" s="1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30" customHeight="1" x14ac:dyDescent="0.15">
      <c r="A914" s="1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30" customHeight="1" x14ac:dyDescent="0.15">
      <c r="A915" s="1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30" customHeight="1" x14ac:dyDescent="0.15">
      <c r="A916" s="1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30" customHeight="1" x14ac:dyDescent="0.15">
      <c r="A917" s="1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30" customHeight="1" x14ac:dyDescent="0.15">
      <c r="A918" s="1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30" customHeight="1" x14ac:dyDescent="0.15">
      <c r="A919" s="1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30" customHeight="1" x14ac:dyDescent="0.15">
      <c r="A920" s="1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30" customHeight="1" x14ac:dyDescent="0.15">
      <c r="A921" s="1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30" customHeight="1" x14ac:dyDescent="0.15">
      <c r="A922" s="1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30" customHeight="1" x14ac:dyDescent="0.15">
      <c r="A923" s="1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30" customHeight="1" x14ac:dyDescent="0.15">
      <c r="A924" s="1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30" customHeight="1" x14ac:dyDescent="0.15">
      <c r="A925" s="1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30" customHeight="1" x14ac:dyDescent="0.15">
      <c r="A926" s="1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30" customHeight="1" x14ac:dyDescent="0.15">
      <c r="A927" s="1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30" customHeight="1" x14ac:dyDescent="0.15">
      <c r="A928" s="1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30" customHeight="1" x14ac:dyDescent="0.15">
      <c r="A929" s="1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30" customHeight="1" x14ac:dyDescent="0.15">
      <c r="A930" s="1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30" customHeight="1" x14ac:dyDescent="0.15">
      <c r="A931" s="1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30" customHeight="1" x14ac:dyDescent="0.15">
      <c r="A932" s="1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30" customHeight="1" x14ac:dyDescent="0.15">
      <c r="A933" s="1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30" customHeight="1" x14ac:dyDescent="0.15">
      <c r="A934" s="1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30" customHeight="1" x14ac:dyDescent="0.15">
      <c r="A935" s="1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30" customHeight="1" x14ac:dyDescent="0.15">
      <c r="A936" s="1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30" customHeight="1" x14ac:dyDescent="0.15">
      <c r="A937" s="1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30" customHeight="1" x14ac:dyDescent="0.15">
      <c r="A938" s="1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30" customHeight="1" x14ac:dyDescent="0.15">
      <c r="A939" s="1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30" customHeight="1" x14ac:dyDescent="0.15">
      <c r="A940" s="1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30" customHeight="1" x14ac:dyDescent="0.15">
      <c r="A941" s="1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30" customHeight="1" x14ac:dyDescent="0.15">
      <c r="A942" s="1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30" customHeight="1" x14ac:dyDescent="0.15">
      <c r="A943" s="1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30" customHeight="1" x14ac:dyDescent="0.15">
      <c r="A944" s="1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30" customHeight="1" x14ac:dyDescent="0.15">
      <c r="A945" s="1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30" customHeight="1" x14ac:dyDescent="0.15">
      <c r="A946" s="1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30" customHeight="1" x14ac:dyDescent="0.15">
      <c r="A947" s="1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30" customHeight="1" x14ac:dyDescent="0.15">
      <c r="A948" s="1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30" customHeight="1" x14ac:dyDescent="0.15">
      <c r="A949" s="1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30" customHeight="1" x14ac:dyDescent="0.15">
      <c r="A950" s="1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30" customHeight="1" x14ac:dyDescent="0.15">
      <c r="A951" s="1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30" customHeight="1" x14ac:dyDescent="0.15">
      <c r="A952" s="1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30" customHeight="1" x14ac:dyDescent="0.15">
      <c r="A953" s="1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30" customHeight="1" x14ac:dyDescent="0.15">
      <c r="A954" s="1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30" customHeight="1" x14ac:dyDescent="0.15">
      <c r="A955" s="1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30" customHeight="1" x14ac:dyDescent="0.15">
      <c r="A956" s="1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30" customHeight="1" x14ac:dyDescent="0.15">
      <c r="A957" s="1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30" customHeight="1" x14ac:dyDescent="0.15">
      <c r="A958" s="1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30" customHeight="1" x14ac:dyDescent="0.15">
      <c r="A959" s="1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30" customHeight="1" x14ac:dyDescent="0.15">
      <c r="A960" s="1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30" customHeight="1" x14ac:dyDescent="0.15">
      <c r="A961" s="1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30" customHeight="1" x14ac:dyDescent="0.15">
      <c r="A962" s="1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30" customHeight="1" x14ac:dyDescent="0.15">
      <c r="A963" s="1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30" customHeight="1" x14ac:dyDescent="0.15">
      <c r="A964" s="1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30" customHeight="1" x14ac:dyDescent="0.15">
      <c r="A965" s="1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30" customHeight="1" x14ac:dyDescent="0.15">
      <c r="A966" s="1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30" customHeight="1" x14ac:dyDescent="0.15">
      <c r="A967" s="1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30" customHeight="1" x14ac:dyDescent="0.15">
      <c r="A968" s="1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30" customHeight="1" x14ac:dyDescent="0.15">
      <c r="A969" s="1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30" customHeight="1" x14ac:dyDescent="0.15">
      <c r="A970" s="1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30" customHeight="1" x14ac:dyDescent="0.15">
      <c r="A971" s="1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30" customHeight="1" x14ac:dyDescent="0.15">
      <c r="A972" s="1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30" customHeight="1" x14ac:dyDescent="0.15">
      <c r="A973" s="1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30" customHeight="1" x14ac:dyDescent="0.15">
      <c r="A974" s="1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30" customHeight="1" x14ac:dyDescent="0.15">
      <c r="A975" s="1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30" customHeight="1" x14ac:dyDescent="0.15">
      <c r="A976" s="1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30" customHeight="1" x14ac:dyDescent="0.15">
      <c r="A977" s="1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30" customHeight="1" x14ac:dyDescent="0.15">
      <c r="A978" s="1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30" customHeight="1" x14ac:dyDescent="0.15">
      <c r="A979" s="1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30" customHeight="1" x14ac:dyDescent="0.15">
      <c r="A980" s="1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30" customHeight="1" x14ac:dyDescent="0.15">
      <c r="A981" s="1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30" customHeight="1" x14ac:dyDescent="0.15">
      <c r="A982" s="1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30" customHeight="1" x14ac:dyDescent="0.15">
      <c r="A983" s="1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30" customHeight="1" x14ac:dyDescent="0.15">
      <c r="A984" s="1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30" customHeight="1" x14ac:dyDescent="0.15">
      <c r="A985" s="1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30" customHeight="1" x14ac:dyDescent="0.15">
      <c r="A986" s="1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30" customHeight="1" x14ac:dyDescent="0.15">
      <c r="A987" s="1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30" customHeight="1" x14ac:dyDescent="0.15">
      <c r="A988" s="1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30" customHeight="1" x14ac:dyDescent="0.15">
      <c r="A989" s="1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30" customHeight="1" x14ac:dyDescent="0.15">
      <c r="A990" s="1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30" customHeight="1" x14ac:dyDescent="0.15">
      <c r="A991" s="1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30" customHeight="1" x14ac:dyDescent="0.15">
      <c r="A992" s="1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30" customHeight="1" x14ac:dyDescent="0.15">
      <c r="A993" s="1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30" customHeight="1" x14ac:dyDescent="0.15">
      <c r="A994" s="1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30" customHeight="1" x14ac:dyDescent="0.15">
      <c r="A995" s="1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30" customHeight="1" x14ac:dyDescent="0.15">
      <c r="A996" s="1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30" customHeight="1" x14ac:dyDescent="0.15">
      <c r="A997" s="1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30" customHeight="1" x14ac:dyDescent="0.15">
      <c r="A998" s="1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30" customHeight="1" x14ac:dyDescent="0.15">
      <c r="A999" s="1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30" customHeight="1" x14ac:dyDescent="0.15">
      <c r="A1000" s="1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30" customHeight="1" x14ac:dyDescent="0.15">
      <c r="A1001" s="1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30" customHeight="1" x14ac:dyDescent="0.15">
      <c r="A1002" s="16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30" customHeight="1" x14ac:dyDescent="0.15">
      <c r="A1003" s="16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30" customHeight="1" x14ac:dyDescent="0.15">
      <c r="A1004" s="16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ht="30" customHeight="1" x14ac:dyDescent="0.15">
      <c r="A1005" s="16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ht="30" customHeight="1" x14ac:dyDescent="0.15">
      <c r="A1006" s="16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ht="30" customHeight="1" x14ac:dyDescent="0.15">
      <c r="A1007" s="16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ht="30" customHeight="1" x14ac:dyDescent="0.15">
      <c r="A1008" s="16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 ht="30" customHeight="1" x14ac:dyDescent="0.15">
      <c r="A1009" s="16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ht="30" customHeight="1" x14ac:dyDescent="0.15">
      <c r="A1010" s="16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1:30" ht="30" customHeight="1" x14ac:dyDescent="0.15">
      <c r="A1011" s="16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1:30" ht="30" customHeight="1" x14ac:dyDescent="0.15">
      <c r="A1012" s="16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ht="30" customHeight="1" x14ac:dyDescent="0.15">
      <c r="A1013" s="16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spans="1:30" ht="30" customHeight="1" x14ac:dyDescent="0.15">
      <c r="A1014" s="16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 spans="1:30" ht="30" customHeight="1" x14ac:dyDescent="0.15">
      <c r="A1015" s="16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 spans="1:30" ht="30" customHeight="1" x14ac:dyDescent="0.15">
      <c r="A1016" s="16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 spans="1:30" ht="30" customHeight="1" x14ac:dyDescent="0.15">
      <c r="A1017" s="16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 spans="1:30" ht="30" customHeight="1" x14ac:dyDescent="0.15">
      <c r="A1018" s="16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 spans="1:30" ht="30" customHeight="1" x14ac:dyDescent="0.15">
      <c r="A1019" s="16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 spans="1:30" ht="30" customHeight="1" x14ac:dyDescent="0.15">
      <c r="A1020" s="16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 spans="1:30" ht="30" customHeight="1" x14ac:dyDescent="0.15">
      <c r="A1021" s="16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 spans="1:30" ht="30" customHeight="1" x14ac:dyDescent="0.15">
      <c r="A1022" s="16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 spans="1:30" ht="30" customHeight="1" x14ac:dyDescent="0.15">
      <c r="A1023" s="16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 spans="1:30" ht="30" customHeight="1" x14ac:dyDescent="0.15">
      <c r="A1024" s="16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 spans="1:30" ht="30" customHeight="1" x14ac:dyDescent="0.15">
      <c r="A1025" s="16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 spans="1:30" ht="30" customHeight="1" x14ac:dyDescent="0.15">
      <c r="A1026" s="16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 spans="1:30" ht="30" customHeight="1" x14ac:dyDescent="0.15">
      <c r="A1027" s="16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 spans="1:30" ht="30" customHeight="1" x14ac:dyDescent="0.15">
      <c r="A1028" s="16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 spans="1:30" ht="30" customHeight="1" x14ac:dyDescent="0.15">
      <c r="A1029" s="16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 spans="1:30" ht="30" customHeight="1" x14ac:dyDescent="0.15">
      <c r="A1030" s="16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 spans="1:30" ht="30" customHeight="1" x14ac:dyDescent="0.15">
      <c r="A1031" s="16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 spans="1:30" ht="30" customHeight="1" x14ac:dyDescent="0.15">
      <c r="A1032" s="16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 spans="1:30" ht="30" customHeight="1" x14ac:dyDescent="0.15">
      <c r="A1033" s="16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 spans="1:30" ht="30" customHeight="1" x14ac:dyDescent="0.15">
      <c r="A1034" s="16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 spans="1:30" ht="30" customHeight="1" x14ac:dyDescent="0.15">
      <c r="A1035" s="16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  <row r="1036" spans="1:30" ht="30" customHeight="1" x14ac:dyDescent="0.15">
      <c r="A1036" s="16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</row>
    <row r="1037" spans="1:30" ht="30" customHeight="1" x14ac:dyDescent="0.15">
      <c r="A1037" s="16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</row>
    <row r="1038" spans="1:30" ht="30" customHeight="1" x14ac:dyDescent="0.15">
      <c r="A1038" s="16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</row>
    <row r="1039" spans="1:30" ht="30" customHeight="1" x14ac:dyDescent="0.15">
      <c r="A1039" s="16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</row>
    <row r="1040" spans="1:30" ht="30" customHeight="1" x14ac:dyDescent="0.15">
      <c r="A1040" s="16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</row>
    <row r="1041" spans="1:30" ht="30" customHeight="1" x14ac:dyDescent="0.15">
      <c r="A1041" s="16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</row>
    <row r="1042" spans="1:30" ht="30" customHeight="1" x14ac:dyDescent="0.15">
      <c r="A1042" s="16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</row>
    <row r="1043" spans="1:30" ht="30" customHeight="1" x14ac:dyDescent="0.15">
      <c r="A1043" s="16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</row>
    <row r="1044" spans="1:30" ht="30" customHeight="1" x14ac:dyDescent="0.15">
      <c r="A1044" s="16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</row>
    <row r="1045" spans="1:30" ht="30" customHeight="1" x14ac:dyDescent="0.15">
      <c r="A1045" s="16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</row>
    <row r="1046" spans="1:30" ht="30" customHeight="1" x14ac:dyDescent="0.15">
      <c r="A1046" s="16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</row>
    <row r="1047" spans="1:30" ht="30" customHeight="1" x14ac:dyDescent="0.15">
      <c r="A1047" s="16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</row>
    <row r="1048" spans="1:30" ht="30" customHeight="1" x14ac:dyDescent="0.15">
      <c r="A1048" s="16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</row>
    <row r="1049" spans="1:30" ht="30" customHeight="1" x14ac:dyDescent="0.15">
      <c r="A1049" s="16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</row>
    <row r="1050" spans="1:30" ht="30" customHeight="1" x14ac:dyDescent="0.15">
      <c r="A1050" s="16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</row>
    <row r="1051" spans="1:30" ht="30" customHeight="1" x14ac:dyDescent="0.15">
      <c r="A1051" s="16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</row>
    <row r="1052" spans="1:30" ht="30" customHeight="1" x14ac:dyDescent="0.15">
      <c r="A1052" s="16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</row>
    <row r="1053" spans="1:30" ht="30" customHeight="1" x14ac:dyDescent="0.15">
      <c r="A1053" s="16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</row>
    <row r="1054" spans="1:30" ht="30" customHeight="1" x14ac:dyDescent="0.15">
      <c r="A1054" s="16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</row>
    <row r="1055" spans="1:30" ht="30" customHeight="1" x14ac:dyDescent="0.15">
      <c r="A1055" s="16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</row>
    <row r="1056" spans="1:30" ht="30" customHeight="1" x14ac:dyDescent="0.15">
      <c r="A1056" s="16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</row>
  </sheetData>
  <mergeCells count="3">
    <mergeCell ref="B2:H2"/>
    <mergeCell ref="B4:B5"/>
    <mergeCell ref="C5:F5"/>
  </mergeCells>
  <hyperlinks>
    <hyperlink ref="C5" r:id="rId1" xr:uid="{265C06AE-9D41-D943-B82C-C72767C96C45}"/>
  </hyperlinks>
  <printOptions horizontalCentered="1"/>
  <pageMargins left="0.25" right="0.25" top="0.75" bottom="0.75" header="0" footer="0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47"/>
  <sheetViews>
    <sheetView workbookViewId="0"/>
  </sheetViews>
  <sheetFormatPr baseColWidth="10" defaultColWidth="12.6640625" defaultRowHeight="15" customHeight="1" x14ac:dyDescent="0.15"/>
  <cols>
    <col min="1" max="1" width="28.5" customWidth="1"/>
    <col min="2" max="2" width="12.5" customWidth="1"/>
    <col min="3" max="3" width="13.6640625" customWidth="1"/>
    <col min="4" max="4" width="12.1640625" customWidth="1"/>
    <col min="5" max="5" width="13" customWidth="1"/>
    <col min="6" max="6" width="11.83203125" customWidth="1"/>
    <col min="7" max="7" width="15.1640625" customWidth="1"/>
    <col min="8" max="8" width="11.83203125" customWidth="1"/>
    <col min="9" max="9" width="21.6640625" customWidth="1"/>
    <col min="10" max="10" width="23.33203125" customWidth="1"/>
    <col min="11" max="11" width="13.6640625" customWidth="1"/>
    <col min="12" max="12" width="21.6640625" customWidth="1"/>
  </cols>
  <sheetData>
    <row r="1" spans="1:28" ht="15" customHeight="1" x14ac:dyDescent="0.15">
      <c r="A1" s="95"/>
      <c r="B1" s="95" t="s">
        <v>89</v>
      </c>
      <c r="C1" s="95" t="s">
        <v>90</v>
      </c>
      <c r="D1" s="95" t="s">
        <v>91</v>
      </c>
      <c r="E1" s="95" t="s">
        <v>92</v>
      </c>
      <c r="F1" s="95" t="s">
        <v>93</v>
      </c>
      <c r="G1" s="95" t="s">
        <v>94</v>
      </c>
      <c r="H1" s="95" t="s">
        <v>95</v>
      </c>
      <c r="I1" s="95" t="s">
        <v>96</v>
      </c>
      <c r="J1" s="95" t="s">
        <v>97</v>
      </c>
      <c r="K1" s="95" t="s">
        <v>98</v>
      </c>
      <c r="L1" s="95" t="s">
        <v>99</v>
      </c>
    </row>
    <row r="2" spans="1:28" ht="15" customHeight="1" x14ac:dyDescent="0.15">
      <c r="A2" s="95" t="s">
        <v>100</v>
      </c>
    </row>
    <row r="3" spans="1:28" ht="15" customHeight="1" x14ac:dyDescent="0.15">
      <c r="A3" s="96" t="s">
        <v>101</v>
      </c>
      <c r="J3" s="96">
        <v>64.349999999999994</v>
      </c>
      <c r="K3" s="96"/>
      <c r="L3" s="96"/>
    </row>
    <row r="4" spans="1:28" ht="15" customHeight="1" x14ac:dyDescent="0.15">
      <c r="A4" s="96" t="s">
        <v>102</v>
      </c>
      <c r="B4" s="96">
        <v>47.94</v>
      </c>
    </row>
    <row r="5" spans="1:28" ht="15" customHeight="1" x14ac:dyDescent="0.15">
      <c r="A5" s="96" t="s">
        <v>103</v>
      </c>
      <c r="B5" s="96">
        <v>251.64</v>
      </c>
    </row>
    <row r="6" spans="1:28" ht="15" customHeight="1" x14ac:dyDescent="0.15">
      <c r="A6" s="96" t="s">
        <v>104</v>
      </c>
      <c r="J6" s="96">
        <v>162.49</v>
      </c>
      <c r="K6" s="96"/>
      <c r="L6" s="96"/>
    </row>
    <row r="7" spans="1:28" ht="15" customHeight="1" x14ac:dyDescent="0.15">
      <c r="A7" s="96" t="s">
        <v>105</v>
      </c>
      <c r="B7" s="96">
        <v>76.94</v>
      </c>
    </row>
    <row r="8" spans="1:28" ht="15" customHeight="1" x14ac:dyDescent="0.15">
      <c r="A8" s="96" t="s">
        <v>106</v>
      </c>
      <c r="G8" s="96">
        <v>108.19</v>
      </c>
    </row>
    <row r="9" spans="1:28" ht="15" customHeight="1" x14ac:dyDescent="0.15">
      <c r="A9" s="96" t="s">
        <v>106</v>
      </c>
      <c r="G9" s="96">
        <v>107.79</v>
      </c>
    </row>
    <row r="10" spans="1:28" ht="15" customHeight="1" x14ac:dyDescent="0.15">
      <c r="A10" s="96" t="s">
        <v>106</v>
      </c>
      <c r="G10" s="96">
        <v>107.1</v>
      </c>
    </row>
    <row r="11" spans="1:28" ht="15" customHeight="1" x14ac:dyDescent="0.15">
      <c r="A11" s="97" t="s">
        <v>107</v>
      </c>
      <c r="B11" s="95">
        <f t="shared" ref="B11:J11" si="0">SUM(B3:B10)</f>
        <v>376.52</v>
      </c>
      <c r="C11" s="95">
        <f t="shared" si="0"/>
        <v>0</v>
      </c>
      <c r="D11" s="95">
        <f t="shared" si="0"/>
        <v>0</v>
      </c>
      <c r="E11" s="95">
        <f t="shared" si="0"/>
        <v>0</v>
      </c>
      <c r="F11" s="95">
        <f t="shared" si="0"/>
        <v>0</v>
      </c>
      <c r="G11" s="95">
        <f t="shared" si="0"/>
        <v>323.08000000000004</v>
      </c>
      <c r="H11" s="95">
        <f t="shared" si="0"/>
        <v>0</v>
      </c>
      <c r="I11" s="95">
        <f t="shared" si="0"/>
        <v>0</v>
      </c>
      <c r="J11" s="95">
        <f t="shared" si="0"/>
        <v>226.84</v>
      </c>
      <c r="K11" s="95"/>
      <c r="L11" s="95"/>
      <c r="M11" s="95" t="s">
        <v>108</v>
      </c>
      <c r="N11" s="95">
        <f>SUM(B11:L11)</f>
        <v>926.44</v>
      </c>
    </row>
    <row r="12" spans="1:28" ht="15" customHeight="1" x14ac:dyDescent="0.15">
      <c r="A12" s="95" t="s">
        <v>109</v>
      </c>
      <c r="G12" s="96"/>
    </row>
    <row r="13" spans="1:28" ht="15" customHeight="1" x14ac:dyDescent="0.15">
      <c r="A13" s="96" t="s">
        <v>110</v>
      </c>
      <c r="B13" s="96">
        <v>125.64</v>
      </c>
      <c r="F13" s="98"/>
      <c r="G13" s="96"/>
    </row>
    <row r="14" spans="1:28" ht="15" customHeight="1" x14ac:dyDescent="0.15">
      <c r="A14" s="97" t="s">
        <v>107</v>
      </c>
      <c r="B14" s="95">
        <f t="shared" ref="B14:J14" si="1">SUM(B13)</f>
        <v>125.64</v>
      </c>
      <c r="C14" s="95">
        <f t="shared" si="1"/>
        <v>0</v>
      </c>
      <c r="D14" s="95">
        <f t="shared" si="1"/>
        <v>0</v>
      </c>
      <c r="E14" s="95">
        <f t="shared" si="1"/>
        <v>0</v>
      </c>
      <c r="F14" s="95">
        <f t="shared" si="1"/>
        <v>0</v>
      </c>
      <c r="G14" s="95">
        <f t="shared" si="1"/>
        <v>0</v>
      </c>
      <c r="H14" s="95">
        <f t="shared" si="1"/>
        <v>0</v>
      </c>
      <c r="I14" s="95">
        <f t="shared" si="1"/>
        <v>0</v>
      </c>
      <c r="J14" s="95">
        <f t="shared" si="1"/>
        <v>0</v>
      </c>
      <c r="K14" s="95"/>
      <c r="L14" s="95"/>
      <c r="M14" s="95" t="s">
        <v>108</v>
      </c>
      <c r="N14" s="95">
        <f>SUM(B14:L14)</f>
        <v>125.64</v>
      </c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</row>
    <row r="15" spans="1:28" ht="15" customHeight="1" x14ac:dyDescent="0.15">
      <c r="A15" s="95" t="s">
        <v>111</v>
      </c>
      <c r="G15" s="96"/>
    </row>
    <row r="16" spans="1:28" ht="15" customHeight="1" x14ac:dyDescent="0.15">
      <c r="A16" s="96" t="s">
        <v>112</v>
      </c>
      <c r="G16" s="96">
        <v>12.72</v>
      </c>
    </row>
    <row r="17" spans="1:14" ht="15" customHeight="1" x14ac:dyDescent="0.15">
      <c r="A17" s="96" t="s">
        <v>113</v>
      </c>
      <c r="G17" s="96">
        <v>7.58</v>
      </c>
    </row>
    <row r="18" spans="1:14" ht="15" customHeight="1" x14ac:dyDescent="0.15">
      <c r="A18" s="96" t="s">
        <v>114</v>
      </c>
      <c r="G18" s="96">
        <v>90.42</v>
      </c>
    </row>
    <row r="19" spans="1:14" ht="15" customHeight="1" x14ac:dyDescent="0.15">
      <c r="A19" s="96" t="s">
        <v>112</v>
      </c>
      <c r="G19" s="96">
        <v>9.86</v>
      </c>
    </row>
    <row r="20" spans="1:14" ht="15" customHeight="1" x14ac:dyDescent="0.15">
      <c r="A20" s="96" t="s">
        <v>114</v>
      </c>
      <c r="G20" s="96">
        <v>50.52</v>
      </c>
    </row>
    <row r="21" spans="1:14" ht="15" customHeight="1" x14ac:dyDescent="0.15">
      <c r="A21" s="96" t="s">
        <v>115</v>
      </c>
      <c r="G21" s="96">
        <v>24.99</v>
      </c>
    </row>
    <row r="22" spans="1:14" ht="15" customHeight="1" x14ac:dyDescent="0.15">
      <c r="A22" s="96" t="s">
        <v>116</v>
      </c>
      <c r="G22" s="96">
        <v>41.99</v>
      </c>
    </row>
    <row r="23" spans="1:14" ht="15" customHeight="1" x14ac:dyDescent="0.15">
      <c r="A23" s="96" t="s">
        <v>113</v>
      </c>
      <c r="G23" s="96">
        <v>13.98</v>
      </c>
    </row>
    <row r="24" spans="1:14" ht="15" customHeight="1" x14ac:dyDescent="0.15">
      <c r="A24" s="96" t="s">
        <v>114</v>
      </c>
      <c r="G24" s="96">
        <v>34.24</v>
      </c>
    </row>
    <row r="25" spans="1:14" ht="15" customHeight="1" x14ac:dyDescent="0.15">
      <c r="A25" s="96" t="s">
        <v>117</v>
      </c>
      <c r="K25" s="96">
        <v>457.8</v>
      </c>
      <c r="L25" s="96"/>
    </row>
    <row r="26" spans="1:14" ht="15" customHeight="1" x14ac:dyDescent="0.15">
      <c r="A26" s="96" t="s">
        <v>117</v>
      </c>
      <c r="K26" s="96">
        <v>457.8</v>
      </c>
      <c r="L26" s="96"/>
    </row>
    <row r="27" spans="1:14" ht="15" customHeight="1" x14ac:dyDescent="0.15">
      <c r="A27" s="97"/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6">
        <v>113</v>
      </c>
      <c r="M27" s="95"/>
      <c r="N27" s="95"/>
    </row>
    <row r="28" spans="1:14" ht="15" customHeight="1" x14ac:dyDescent="0.15">
      <c r="A28" s="97" t="s">
        <v>107</v>
      </c>
      <c r="B28" s="95">
        <f t="shared" ref="B28:L28" si="2">SUM(B16:B27)</f>
        <v>0</v>
      </c>
      <c r="C28" s="95">
        <f t="shared" si="2"/>
        <v>0</v>
      </c>
      <c r="D28" s="95">
        <f t="shared" si="2"/>
        <v>0</v>
      </c>
      <c r="E28" s="95">
        <f t="shared" si="2"/>
        <v>0</v>
      </c>
      <c r="F28" s="95">
        <f t="shared" si="2"/>
        <v>0</v>
      </c>
      <c r="G28" s="95">
        <f t="shared" si="2"/>
        <v>286.3</v>
      </c>
      <c r="H28" s="95">
        <f t="shared" si="2"/>
        <v>0</v>
      </c>
      <c r="I28" s="95">
        <f t="shared" si="2"/>
        <v>0</v>
      </c>
      <c r="J28" s="95">
        <f t="shared" si="2"/>
        <v>0</v>
      </c>
      <c r="K28" s="95">
        <f t="shared" si="2"/>
        <v>915.6</v>
      </c>
      <c r="L28" s="95">
        <f t="shared" si="2"/>
        <v>113</v>
      </c>
      <c r="M28" s="95" t="s">
        <v>108</v>
      </c>
      <c r="N28" s="95">
        <f>SUM(B28:L28)</f>
        <v>1314.9</v>
      </c>
    </row>
    <row r="29" spans="1:14" ht="15" customHeight="1" x14ac:dyDescent="0.15">
      <c r="A29" s="95" t="s">
        <v>118</v>
      </c>
    </row>
    <row r="30" spans="1:14" ht="15" customHeight="1" x14ac:dyDescent="0.15">
      <c r="A30" s="96" t="s">
        <v>119</v>
      </c>
      <c r="B30" s="95"/>
      <c r="F30" s="99">
        <v>9.98</v>
      </c>
      <c r="G30" s="96"/>
    </row>
    <row r="31" spans="1:14" ht="15" customHeight="1" x14ac:dyDescent="0.15">
      <c r="A31" s="96" t="s">
        <v>120</v>
      </c>
      <c r="C31" s="96">
        <v>35.92</v>
      </c>
      <c r="G31" s="96"/>
    </row>
    <row r="32" spans="1:14" ht="15" customHeight="1" x14ac:dyDescent="0.15">
      <c r="A32" s="96" t="s">
        <v>110</v>
      </c>
      <c r="B32" s="95">
        <v>27.24</v>
      </c>
      <c r="G32" s="96"/>
    </row>
    <row r="33" spans="1:28" ht="15" customHeight="1" x14ac:dyDescent="0.15">
      <c r="A33" s="96" t="s">
        <v>121</v>
      </c>
      <c r="B33" s="95">
        <v>26.98</v>
      </c>
      <c r="G33" s="96"/>
    </row>
    <row r="34" spans="1:28" ht="15" customHeight="1" x14ac:dyDescent="0.15">
      <c r="A34" s="96" t="s">
        <v>122</v>
      </c>
      <c r="B34" s="96">
        <v>16.48</v>
      </c>
      <c r="G34" s="96"/>
    </row>
    <row r="35" spans="1:28" ht="15" customHeight="1" x14ac:dyDescent="0.15">
      <c r="A35" s="96" t="s">
        <v>123</v>
      </c>
      <c r="B35" s="95"/>
      <c r="F35" s="98">
        <v>31.42</v>
      </c>
      <c r="G35" s="96"/>
    </row>
    <row r="36" spans="1:28" ht="15" customHeight="1" x14ac:dyDescent="0.15">
      <c r="A36" s="96" t="s">
        <v>124</v>
      </c>
      <c r="B36" s="95">
        <v>29.85</v>
      </c>
      <c r="G36" s="96"/>
    </row>
    <row r="37" spans="1:28" ht="15" customHeight="1" x14ac:dyDescent="0.15">
      <c r="A37" s="96" t="s">
        <v>125</v>
      </c>
      <c r="B37" s="95"/>
      <c r="F37" s="98">
        <v>101.46</v>
      </c>
      <c r="G37" s="96"/>
    </row>
    <row r="38" spans="1:28" ht="15" customHeight="1" x14ac:dyDescent="0.15">
      <c r="A38" s="96" t="s">
        <v>125</v>
      </c>
      <c r="B38" s="95"/>
      <c r="F38" s="99">
        <v>8.01</v>
      </c>
      <c r="G38" s="96"/>
    </row>
    <row r="39" spans="1:28" ht="15" customHeight="1" x14ac:dyDescent="0.15">
      <c r="A39" s="96" t="s">
        <v>126</v>
      </c>
      <c r="B39" s="95">
        <v>20.64</v>
      </c>
      <c r="G39" s="96"/>
    </row>
    <row r="40" spans="1:28" ht="15" customHeight="1" x14ac:dyDescent="0.15">
      <c r="A40" s="96" t="s">
        <v>125</v>
      </c>
      <c r="B40" s="95"/>
      <c r="F40" s="99">
        <v>19.73</v>
      </c>
      <c r="G40" s="96"/>
    </row>
    <row r="41" spans="1:28" ht="15" customHeight="1" x14ac:dyDescent="0.15">
      <c r="A41" s="96" t="s">
        <v>125</v>
      </c>
      <c r="F41" s="96">
        <v>-10.32</v>
      </c>
      <c r="G41" s="96"/>
    </row>
    <row r="42" spans="1:28" ht="15" customHeight="1" x14ac:dyDescent="0.15">
      <c r="A42" s="96" t="s">
        <v>126</v>
      </c>
      <c r="B42" s="96">
        <v>-5.88</v>
      </c>
      <c r="G42" s="96"/>
    </row>
    <row r="43" spans="1:28" ht="15" customHeight="1" x14ac:dyDescent="0.15">
      <c r="A43" s="97" t="s">
        <v>107</v>
      </c>
      <c r="B43" s="95">
        <f t="shared" ref="B43:K43" si="3">SUM(B30:B42)</f>
        <v>115.31000000000002</v>
      </c>
      <c r="C43" s="95">
        <f t="shared" si="3"/>
        <v>35.92</v>
      </c>
      <c r="D43" s="95">
        <f t="shared" si="3"/>
        <v>0</v>
      </c>
      <c r="E43" s="95">
        <f t="shared" si="3"/>
        <v>0</v>
      </c>
      <c r="F43" s="95">
        <f t="shared" si="3"/>
        <v>160.28</v>
      </c>
      <c r="G43" s="95">
        <f t="shared" si="3"/>
        <v>0</v>
      </c>
      <c r="H43" s="95">
        <f t="shared" si="3"/>
        <v>0</v>
      </c>
      <c r="I43" s="95">
        <f t="shared" si="3"/>
        <v>0</v>
      </c>
      <c r="J43" s="95">
        <f t="shared" si="3"/>
        <v>0</v>
      </c>
      <c r="K43" s="95">
        <f t="shared" si="3"/>
        <v>0</v>
      </c>
      <c r="L43" s="95"/>
      <c r="M43" s="95" t="s">
        <v>108</v>
      </c>
      <c r="N43" s="95">
        <f>SUM(B43:L43)</f>
        <v>311.51</v>
      </c>
    </row>
    <row r="45" spans="1:28" ht="15" customHeight="1" x14ac:dyDescent="0.15">
      <c r="A45" s="95" t="s">
        <v>127</v>
      </c>
    </row>
    <row r="46" spans="1:28" ht="15" customHeight="1" x14ac:dyDescent="0.15">
      <c r="A46" s="96" t="s">
        <v>128</v>
      </c>
      <c r="B46" s="96">
        <v>140.88</v>
      </c>
    </row>
    <row r="47" spans="1:28" ht="15" customHeight="1" x14ac:dyDescent="0.15">
      <c r="A47" s="97" t="s">
        <v>107</v>
      </c>
      <c r="B47" s="95">
        <f t="shared" ref="B47:L47" si="4">SUM(B46)</f>
        <v>140.88</v>
      </c>
      <c r="C47" s="95">
        <f t="shared" si="4"/>
        <v>0</v>
      </c>
      <c r="D47" s="95">
        <f t="shared" si="4"/>
        <v>0</v>
      </c>
      <c r="E47" s="95">
        <f t="shared" si="4"/>
        <v>0</v>
      </c>
      <c r="F47" s="95">
        <f t="shared" si="4"/>
        <v>0</v>
      </c>
      <c r="G47" s="95">
        <f t="shared" si="4"/>
        <v>0</v>
      </c>
      <c r="H47" s="95">
        <f t="shared" si="4"/>
        <v>0</v>
      </c>
      <c r="I47" s="95">
        <f t="shared" si="4"/>
        <v>0</v>
      </c>
      <c r="J47" s="95">
        <f t="shared" si="4"/>
        <v>0</v>
      </c>
      <c r="K47" s="95">
        <f t="shared" si="4"/>
        <v>0</v>
      </c>
      <c r="L47" s="95">
        <f t="shared" si="4"/>
        <v>0</v>
      </c>
      <c r="M47" s="95" t="s">
        <v>108</v>
      </c>
      <c r="N47" s="95">
        <f>SUM(B47:L47)</f>
        <v>140.88</v>
      </c>
      <c r="O47" s="95" t="s">
        <v>129</v>
      </c>
      <c r="P47" s="95">
        <f>SUM(N2:N47)</f>
        <v>2819.3700000000008</v>
      </c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Expenses</vt:lpstr>
      <vt:lpstr>Credit Card Purchases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Lounello, Michael</cp:lastModifiedBy>
  <dcterms:modified xsi:type="dcterms:W3CDTF">2026-02-10T15:45:19Z</dcterms:modified>
</cp:coreProperties>
</file>