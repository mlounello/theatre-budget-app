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  <sheet state="visible" name="Credit Card Purchases" sheetId="2" r:id="rId6"/>
  </sheets>
  <definedNames/>
  <calcPr/>
</workbook>
</file>

<file path=xl/sharedStrings.xml><?xml version="1.0" encoding="utf-8"?>
<sst xmlns="http://schemas.openxmlformats.org/spreadsheetml/2006/main" count="122" uniqueCount="56">
  <si>
    <t>T</t>
  </si>
  <si>
    <t xml:space="preserve"> </t>
  </si>
  <si>
    <t>Dolly West's Kitchen</t>
  </si>
  <si>
    <t>EXPENSES</t>
  </si>
  <si>
    <t>TOTAL EXPENSES</t>
  </si>
  <si>
    <t>Estimated</t>
  </si>
  <si>
    <t>Actual</t>
  </si>
  <si>
    <t>Scenic</t>
  </si>
  <si>
    <t>REF #</t>
  </si>
  <si>
    <t>PENDING CC</t>
  </si>
  <si>
    <t>ENC</t>
  </si>
  <si>
    <t>YTD</t>
  </si>
  <si>
    <t>Costumes</t>
  </si>
  <si>
    <t>EC000805</t>
  </si>
  <si>
    <t>Amazon Business Inc.</t>
  </si>
  <si>
    <t>EP018647</t>
  </si>
  <si>
    <t>Starting Budget</t>
  </si>
  <si>
    <t>TOTALS</t>
  </si>
  <si>
    <t>TOTAL SPENT:</t>
  </si>
  <si>
    <t>TOTAL REMAINING:</t>
  </si>
  <si>
    <t>Lighting</t>
  </si>
  <si>
    <t>Sound</t>
  </si>
  <si>
    <t>Rights</t>
  </si>
  <si>
    <t>Miscellaneous</t>
  </si>
  <si>
    <t>Casarotto (Rights)</t>
  </si>
  <si>
    <t>EP012480</t>
  </si>
  <si>
    <t>KCACTF Registration</t>
  </si>
  <si>
    <t>J0179555</t>
  </si>
  <si>
    <t>Amazon Business Inc. (Theatre Prod)</t>
  </si>
  <si>
    <t>EP017655</t>
  </si>
  <si>
    <t>KCACTF Meals &amp; Hotel</t>
  </si>
  <si>
    <t>Props</t>
  </si>
  <si>
    <t>11300 (Scenic)</t>
  </si>
  <si>
    <t>11301 (Lighting)</t>
  </si>
  <si>
    <t>11302 (Sound)</t>
  </si>
  <si>
    <t>11303 (Video)</t>
  </si>
  <si>
    <t>11304 (Props)</t>
  </si>
  <si>
    <t>11305 (Costumes)</t>
  </si>
  <si>
    <t>11306 (Music)</t>
  </si>
  <si>
    <t>11307 (Ticketing Supplies)</t>
  </si>
  <si>
    <t>11308 (Production Supplies)</t>
  </si>
  <si>
    <t>11220 (Lodging)</t>
  </si>
  <si>
    <t>11412 (Meals with Guests)</t>
  </si>
  <si>
    <t>January Card 1</t>
  </si>
  <si>
    <t>Totals:</t>
  </si>
  <si>
    <t>Monthly Total:</t>
  </si>
  <si>
    <t>January Card 2</t>
  </si>
  <si>
    <t>February Card 1 *71007</t>
  </si>
  <si>
    <t>Home Depot (EC000805)</t>
  </si>
  <si>
    <t>February Card 2</t>
  </si>
  <si>
    <t>March Card 1</t>
  </si>
  <si>
    <t>March Card 2</t>
  </si>
  <si>
    <t>April Card 1</t>
  </si>
  <si>
    <t>April Card 2</t>
  </si>
  <si>
    <t>May Card 1</t>
  </si>
  <si>
    <t>May Card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</si>
</sst>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.00"/>
    <numFmt numFmtId="166" formatCode="&quot;$&quot;#,##0.00_);\(&quot;$&quot;#,##0.00\)"/>
  </numFmts>
  <fonts count="19">
    <font>
      <sz val="10.0"/>
      <color rgb="FF000000"/>
      <name val="Arial"/>
      <scheme val="minor"/>
    </font>
    <font>
      <sz val="8.0"/>
      <color rgb="FFFFFFFF"/>
      <name val="Century Gothic"/>
    </font>
    <font>
      <sz val="10.0"/>
      <color theme="1"/>
      <name val="Century Gothic"/>
    </font>
    <font>
      <sz val="8.0"/>
      <color theme="0"/>
      <name val="Century Gothic"/>
    </font>
    <font>
      <b/>
      <sz val="48.0"/>
      <color rgb="FF2D5E3C"/>
      <name val="Century Gothic"/>
    </font>
    <font/>
    <font>
      <sz val="22.0"/>
      <color theme="4"/>
      <name val="Century Gothic"/>
    </font>
    <font>
      <sz val="20.0"/>
      <color rgb="FF2D5E3C"/>
      <name val="Century Gothic"/>
    </font>
    <font>
      <b/>
      <sz val="48.0"/>
      <color theme="9"/>
      <name val="Century Gothic"/>
    </font>
    <font>
      <sz val="20.0"/>
      <color theme="9"/>
      <name val="Century Gothic"/>
    </font>
    <font>
      <b/>
      <sz val="18.0"/>
      <color theme="1"/>
      <name val="Century Gothic"/>
    </font>
    <font>
      <sz val="12.0"/>
      <color theme="1"/>
      <name val="Century Gothic"/>
    </font>
    <font>
      <b/>
      <sz val="12.0"/>
      <color theme="1"/>
      <name val="Century Gothic"/>
    </font>
    <font>
      <sz val="9.0"/>
      <color theme="1"/>
      <name val="Century Gothic"/>
    </font>
    <font>
      <color theme="1"/>
      <name val="Arial"/>
      <scheme val="minor"/>
    </font>
    <font>
      <i/>
      <sz val="12.0"/>
      <color theme="1"/>
      <name val="Century Gothic"/>
    </font>
    <font>
      <b/>
      <i/>
      <sz val="12.0"/>
      <color theme="1"/>
      <name val="Century Gothic"/>
    </font>
    <font>
      <b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A7D5B5"/>
        <bgColor rgb="FFA7D5B5"/>
      </patternFill>
    </fill>
    <fill>
      <patternFill patternType="solid">
        <fgColor rgb="FFD3EADA"/>
        <bgColor rgb="FFD3EADA"/>
      </patternFill>
    </fill>
  </fills>
  <borders count="2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n">
        <color theme="9"/>
      </right>
      <top style="thin">
        <color theme="9"/>
      </top>
    </border>
    <border>
      <left/>
      <right/>
      <top style="thin">
        <color theme="9"/>
      </top>
      <bottom style="thin">
        <color theme="9"/>
      </bottom>
    </border>
    <border>
      <left/>
      <right style="thin">
        <color theme="9"/>
      </right>
      <bottom style="thin">
        <color theme="9"/>
      </bottom>
    </border>
    <border>
      <left/>
      <top style="thin">
        <color theme="9"/>
      </top>
      <bottom style="thin">
        <color theme="9"/>
      </bottom>
    </border>
    <border>
      <top style="thin">
        <color theme="9"/>
      </top>
      <bottom style="thin">
        <color theme="9"/>
      </bottom>
    </border>
    <border>
      <right/>
      <top style="thin">
        <color theme="9"/>
      </top>
      <bottom style="thin">
        <color theme="9"/>
      </bottom>
    </border>
    <border>
      <left/>
      <right/>
      <top style="thin">
        <color theme="9"/>
      </top>
      <bottom/>
    </border>
    <border>
      <left/>
      <right/>
      <top style="thin">
        <color theme="9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  <bottom style="thin">
        <color theme="9"/>
      </bottom>
    </border>
    <border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top style="thin">
        <color rgb="FF000000"/>
      </top>
    </border>
    <border>
      <left/>
      <right/>
    </border>
    <border>
      <bottom style="thin">
        <color rgb="FF000000"/>
      </bottom>
    </border>
    <border>
      <left/>
      <right/>
      <bottom style="thin">
        <color rgb="FF000000"/>
      </bottom>
    </border>
    <border>
      <left/>
      <right/>
      <bottom style="thin">
        <color theme="9"/>
      </bottom>
    </border>
    <border>
      <left/>
      <right/>
      <top style="thin">
        <color rgb="FF000000"/>
      </top>
      <bottom style="thin">
        <color theme="9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left" readingOrder="0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vertical="center"/>
    </xf>
    <xf borderId="4" fillId="2" fontId="7" numFmtId="0" xfId="0" applyAlignment="1" applyBorder="1" applyFont="1">
      <alignment horizontal="right"/>
    </xf>
    <xf borderId="4" fillId="2" fontId="8" numFmtId="0" xfId="0" applyAlignment="1" applyBorder="1" applyFont="1">
      <alignment horizontal="left" vertical="center"/>
    </xf>
    <xf borderId="4" fillId="2" fontId="2" numFmtId="0" xfId="0" applyAlignment="1" applyBorder="1" applyFont="1">
      <alignment vertical="center"/>
    </xf>
    <xf borderId="4" fillId="2" fontId="9" numFmtId="0" xfId="0" applyAlignment="1" applyBorder="1" applyFont="1">
      <alignment horizontal="right" vertical="center"/>
    </xf>
    <xf borderId="5" fillId="3" fontId="10" numFmtId="0" xfId="0" applyAlignment="1" applyBorder="1" applyFill="1" applyFont="1">
      <alignment horizontal="center" vertical="center"/>
    </xf>
    <xf borderId="6" fillId="4" fontId="11" numFmtId="0" xfId="0" applyAlignment="1" applyBorder="1" applyFill="1" applyFont="1">
      <alignment horizontal="left" readingOrder="0" vertical="center"/>
    </xf>
    <xf borderId="6" fillId="4" fontId="2" numFmtId="0" xfId="0" applyAlignment="1" applyBorder="1" applyFont="1">
      <alignment horizontal="right"/>
    </xf>
    <xf borderId="6" fillId="4" fontId="12" numFmtId="0" xfId="0" applyAlignment="1" applyBorder="1" applyFont="1">
      <alignment horizontal="right" vertic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7" fillId="0" fontId="5" numFmtId="0" xfId="0" applyBorder="1" applyFont="1"/>
    <xf borderId="8" fillId="4" fontId="10" numFmtId="0" xfId="0" applyAlignment="1" applyBorder="1" applyFont="1">
      <alignment horizontal="left" readingOrder="0" vertical="center"/>
    </xf>
    <xf borderId="9" fillId="0" fontId="5" numFmtId="0" xfId="0" applyBorder="1" applyFont="1"/>
    <xf borderId="10" fillId="0" fontId="5" numFmtId="0" xfId="0" applyBorder="1" applyFont="1"/>
    <xf borderId="6" fillId="4" fontId="13" numFmtId="0" xfId="0" applyAlignment="1" applyBorder="1" applyFont="1">
      <alignment vertical="center"/>
    </xf>
    <xf borderId="6" fillId="4" fontId="11" numFmtId="164" xfId="0" applyAlignment="1" applyBorder="1" applyFont="1" applyNumberFormat="1">
      <alignment horizontal="right" vertical="center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Font="1"/>
    <xf borderId="4" fillId="2" fontId="2" numFmtId="0" xfId="0" applyAlignment="1" applyBorder="1" applyFont="1">
      <alignment horizontal="left"/>
    </xf>
    <xf borderId="4" fillId="2" fontId="2" numFmtId="0" xfId="0" applyAlignment="1" applyBorder="1" applyFont="1">
      <alignment horizontal="right"/>
    </xf>
    <xf borderId="4" fillId="2" fontId="2" numFmtId="0" xfId="0" applyBorder="1" applyFont="1"/>
    <xf borderId="11" fillId="3" fontId="12" numFmtId="0" xfId="0" applyAlignment="1" applyBorder="1" applyFont="1">
      <alignment horizontal="left" vertical="center"/>
    </xf>
    <xf borderId="11" fillId="3" fontId="12" numFmtId="165" xfId="0" applyAlignment="1" applyBorder="1" applyFont="1" applyNumberFormat="1">
      <alignment horizontal="right" vertical="center"/>
    </xf>
    <xf borderId="11" fillId="3" fontId="12" numFmtId="165" xfId="0" applyAlignment="1" applyBorder="1" applyFont="1" applyNumberFormat="1">
      <alignment horizontal="right" readingOrder="0" vertical="center"/>
    </xf>
    <xf borderId="4" fillId="2" fontId="11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2" fillId="2" fontId="11" numFmtId="0" xfId="0" applyAlignment="1" applyBorder="1" applyFont="1">
      <alignment horizontal="left" readingOrder="0" vertical="center"/>
    </xf>
    <xf borderId="12" fillId="2" fontId="11" numFmtId="164" xfId="0" applyAlignment="1" applyBorder="1" applyFont="1" applyNumberFormat="1">
      <alignment horizontal="right" readingOrder="0" vertical="center"/>
    </xf>
    <xf borderId="12" fillId="2" fontId="11" numFmtId="165" xfId="0" applyAlignment="1" applyBorder="1" applyFont="1" applyNumberFormat="1">
      <alignment horizontal="right" readingOrder="0" vertical="center"/>
    </xf>
    <xf borderId="0" fillId="0" fontId="12" numFmtId="165" xfId="0" applyAlignment="1" applyFont="1" applyNumberFormat="1">
      <alignment horizontal="right" readingOrder="0" vertical="center"/>
    </xf>
    <xf borderId="13" fillId="2" fontId="11" numFmtId="0" xfId="0" applyAlignment="1" applyBorder="1" applyFont="1">
      <alignment horizontal="left" readingOrder="0" vertical="center"/>
    </xf>
    <xf borderId="13" fillId="2" fontId="11" numFmtId="164" xfId="0" applyAlignment="1" applyBorder="1" applyFont="1" applyNumberFormat="1">
      <alignment horizontal="right" readingOrder="0" vertical="center"/>
    </xf>
    <xf borderId="13" fillId="2" fontId="11" numFmtId="165" xfId="0" applyAlignment="1" applyBorder="1" applyFont="1" applyNumberFormat="1">
      <alignment horizontal="right" readingOrder="0" vertical="center"/>
    </xf>
    <xf borderId="0" fillId="0" fontId="2" numFmtId="0" xfId="0" applyAlignment="1" applyFont="1">
      <alignment readingOrder="0"/>
    </xf>
    <xf borderId="14" fillId="2" fontId="11" numFmtId="0" xfId="0" applyAlignment="1" applyBorder="1" applyFont="1">
      <alignment horizontal="left" readingOrder="0" vertical="center"/>
    </xf>
    <xf borderId="15" fillId="2" fontId="11" numFmtId="164" xfId="0" applyAlignment="1" applyBorder="1" applyFont="1" applyNumberFormat="1">
      <alignment horizontal="right" readingOrder="0" vertical="center"/>
    </xf>
    <xf borderId="16" fillId="2" fontId="11" numFmtId="164" xfId="0" applyAlignment="1" applyBorder="1" applyFont="1" applyNumberFormat="1">
      <alignment horizontal="right" readingOrder="0" vertical="center"/>
    </xf>
    <xf borderId="16" fillId="2" fontId="11" numFmtId="165" xfId="0" applyAlignment="1" applyBorder="1" applyFont="1" applyNumberFormat="1">
      <alignment horizontal="right" readingOrder="0" vertical="center"/>
    </xf>
    <xf borderId="0" fillId="0" fontId="14" numFmtId="0" xfId="0" applyAlignment="1" applyFont="1">
      <alignment horizontal="left" vertical="bottom"/>
    </xf>
    <xf borderId="17" fillId="2" fontId="11" numFmtId="164" xfId="0" applyAlignment="1" applyBorder="1" applyFont="1" applyNumberFormat="1">
      <alignment horizontal="right" readingOrder="0" vertical="center"/>
    </xf>
    <xf borderId="18" fillId="2" fontId="11" numFmtId="164" xfId="0" applyAlignment="1" applyBorder="1" applyFont="1" applyNumberFormat="1">
      <alignment horizontal="right" readingOrder="0" vertical="center"/>
    </xf>
    <xf borderId="18" fillId="2" fontId="11" numFmtId="165" xfId="0" applyAlignment="1" applyBorder="1" applyFont="1" applyNumberFormat="1">
      <alignment horizontal="right" readingOrder="0" vertical="center"/>
    </xf>
    <xf borderId="3" fillId="2" fontId="11" numFmtId="0" xfId="0" applyAlignment="1" applyBorder="1" applyFont="1">
      <alignment vertical="center"/>
    </xf>
    <xf borderId="17" fillId="2" fontId="11" numFmtId="165" xfId="0" applyAlignment="1" applyBorder="1" applyFont="1" applyNumberFormat="1">
      <alignment horizontal="right" readingOrder="0" vertical="center"/>
    </xf>
    <xf borderId="19" fillId="2" fontId="11" numFmtId="0" xfId="0" applyAlignment="1" applyBorder="1" applyFont="1">
      <alignment horizontal="left" readingOrder="0" vertical="center"/>
    </xf>
    <xf borderId="19" fillId="2" fontId="11" numFmtId="164" xfId="0" applyAlignment="1" applyBorder="1" applyFont="1" applyNumberFormat="1">
      <alignment horizontal="right" readingOrder="0" vertical="center"/>
    </xf>
    <xf borderId="3" fillId="2" fontId="11" numFmtId="0" xfId="0" applyAlignment="1" applyBorder="1" applyFont="1">
      <alignment readingOrder="0" vertical="center"/>
    </xf>
    <xf borderId="20" fillId="2" fontId="11" numFmtId="164" xfId="0" applyAlignment="1" applyBorder="1" applyFont="1" applyNumberFormat="1">
      <alignment horizontal="right" readingOrder="0" vertical="center"/>
    </xf>
    <xf borderId="0" fillId="0" fontId="2" numFmtId="0" xfId="0" applyAlignment="1" applyFont="1">
      <alignment readingOrder="0" vertical="center"/>
    </xf>
    <xf borderId="21" fillId="2" fontId="15" numFmtId="0" xfId="0" applyAlignment="1" applyBorder="1" applyFont="1">
      <alignment horizontal="left" readingOrder="0" vertical="center"/>
    </xf>
    <xf borderId="21" fillId="2" fontId="15" numFmtId="164" xfId="0" applyAlignment="1" applyBorder="1" applyFont="1" applyNumberFormat="1">
      <alignment horizontal="right" readingOrder="0" vertical="center"/>
    </xf>
    <xf borderId="21" fillId="2" fontId="15" numFmtId="165" xfId="0" applyAlignment="1" applyBorder="1" applyFont="1" applyNumberFormat="1">
      <alignment horizontal="right" readingOrder="0" vertical="center"/>
    </xf>
    <xf borderId="18" fillId="2" fontId="15" numFmtId="0" xfId="0" applyAlignment="1" applyBorder="1" applyFont="1">
      <alignment horizontal="left" readingOrder="0" vertical="center"/>
    </xf>
    <xf borderId="18" fillId="2" fontId="15" numFmtId="164" xfId="0" applyAlignment="1" applyBorder="1" applyFont="1" applyNumberFormat="1">
      <alignment horizontal="right" readingOrder="0" vertical="center"/>
    </xf>
    <xf borderId="18" fillId="2" fontId="15" numFmtId="165" xfId="0" applyAlignment="1" applyBorder="1" applyFont="1" applyNumberFormat="1">
      <alignment horizontal="right" readingOrder="0" vertical="center"/>
    </xf>
    <xf borderId="22" fillId="2" fontId="15" numFmtId="0" xfId="0" applyAlignment="1" applyBorder="1" applyFont="1">
      <alignment horizontal="left" readingOrder="0" vertical="center"/>
    </xf>
    <xf borderId="22" fillId="2" fontId="15" numFmtId="164" xfId="0" applyAlignment="1" applyBorder="1" applyFont="1" applyNumberFormat="1">
      <alignment horizontal="right" readingOrder="0" vertical="center"/>
    </xf>
    <xf borderId="22" fillId="2" fontId="15" numFmtId="165" xfId="0" applyAlignment="1" applyBorder="1" applyFont="1" applyNumberFormat="1">
      <alignment horizontal="right" readingOrder="0" vertical="center"/>
    </xf>
    <xf borderId="23" fillId="4" fontId="16" numFmtId="164" xfId="0" applyAlignment="1" applyBorder="1" applyFont="1" applyNumberFormat="1">
      <alignment horizontal="left" readingOrder="0" vertical="center"/>
    </xf>
    <xf borderId="24" fillId="4" fontId="12" numFmtId="164" xfId="0" applyAlignment="1" applyBorder="1" applyFont="1" applyNumberFormat="1">
      <alignment horizontal="right" readingOrder="0" vertical="center"/>
    </xf>
    <xf borderId="24" fillId="4" fontId="12" numFmtId="165" xfId="0" applyAlignment="1" applyBorder="1" applyFont="1" applyNumberFormat="1">
      <alignment horizontal="right" vertical="center"/>
    </xf>
    <xf borderId="25" fillId="4" fontId="12" numFmtId="164" xfId="0" applyAlignment="1" applyBorder="1" applyFont="1" applyNumberFormat="1">
      <alignment horizontal="right" readingOrder="0" vertical="center"/>
    </xf>
    <xf borderId="25" fillId="4" fontId="12" numFmtId="165" xfId="0" applyAlignment="1" applyBorder="1" applyFont="1" applyNumberFormat="1">
      <alignment horizontal="right" vertical="center"/>
    </xf>
    <xf borderId="25" fillId="4" fontId="12" numFmtId="164" xfId="0" applyAlignment="1" applyBorder="1" applyFont="1" applyNumberFormat="1">
      <alignment horizontal="left" readingOrder="0" vertical="center"/>
    </xf>
    <xf borderId="25" fillId="4" fontId="12" numFmtId="165" xfId="0" applyAlignment="1" applyBorder="1" applyFont="1" applyNumberFormat="1">
      <alignment horizontal="left" vertical="center"/>
    </xf>
    <xf borderId="25" fillId="4" fontId="12" numFmtId="165" xfId="0" applyAlignment="1" applyBorder="1" applyFont="1" applyNumberFormat="1">
      <alignment horizontal="right" readingOrder="0" vertical="center"/>
    </xf>
    <xf borderId="6" fillId="4" fontId="12" numFmtId="164" xfId="0" applyAlignment="1" applyBorder="1" applyFont="1" applyNumberFormat="1">
      <alignment horizontal="left" readingOrder="0" vertical="center"/>
    </xf>
    <xf borderId="4" fillId="2" fontId="11" numFmtId="0" xfId="0" applyAlignment="1" applyBorder="1" applyFont="1">
      <alignment horizontal="left" vertical="center"/>
    </xf>
    <xf borderId="4" fillId="2" fontId="11" numFmtId="0" xfId="0" applyAlignment="1" applyBorder="1" applyFont="1">
      <alignment horizontal="right" vertical="center"/>
    </xf>
    <xf borderId="21" fillId="2" fontId="11" numFmtId="0" xfId="0" applyAlignment="1" applyBorder="1" applyFont="1">
      <alignment horizontal="left" readingOrder="0" vertical="center"/>
    </xf>
    <xf borderId="21" fillId="2" fontId="11" numFmtId="164" xfId="0" applyAlignment="1" applyBorder="1" applyFont="1" applyNumberFormat="1">
      <alignment horizontal="right" readingOrder="0" vertical="center"/>
    </xf>
    <xf borderId="21" fillId="2" fontId="11" numFmtId="165" xfId="0" applyAlignment="1" applyBorder="1" applyFont="1" applyNumberFormat="1">
      <alignment horizontal="right" readingOrder="0" vertical="center"/>
    </xf>
    <xf borderId="18" fillId="2" fontId="11" numFmtId="0" xfId="0" applyAlignment="1" applyBorder="1" applyFont="1">
      <alignment horizontal="left" readingOrder="0" vertical="center"/>
    </xf>
    <xf borderId="22" fillId="2" fontId="11" numFmtId="0" xfId="0" applyAlignment="1" applyBorder="1" applyFont="1">
      <alignment horizontal="left" readingOrder="0" vertical="center"/>
    </xf>
    <xf borderId="22" fillId="2" fontId="11" numFmtId="164" xfId="0" applyAlignment="1" applyBorder="1" applyFont="1" applyNumberFormat="1">
      <alignment horizontal="right" readingOrder="0" vertical="center"/>
    </xf>
    <xf borderId="22" fillId="2" fontId="11" numFmtId="165" xfId="0" applyAlignment="1" applyBorder="1" applyFont="1" applyNumberFormat="1">
      <alignment horizontal="right" readingOrder="0" vertical="center"/>
    </xf>
    <xf borderId="11" fillId="3" fontId="12" numFmtId="0" xfId="0" applyAlignment="1" applyBorder="1" applyFont="1">
      <alignment horizontal="left" readingOrder="0" vertical="center"/>
    </xf>
    <xf borderId="22" fillId="2" fontId="12" numFmtId="0" xfId="0" applyAlignment="1" applyBorder="1" applyFont="1">
      <alignment horizontal="left" readingOrder="0" vertical="center"/>
    </xf>
    <xf borderId="22" fillId="2" fontId="12" numFmtId="164" xfId="0" applyAlignment="1" applyBorder="1" applyFont="1" applyNumberFormat="1">
      <alignment horizontal="right" readingOrder="0" vertical="center"/>
    </xf>
    <xf borderId="22" fillId="2" fontId="12" numFmtId="165" xfId="0" applyAlignment="1" applyBorder="1" applyFont="1" applyNumberFormat="1">
      <alignment horizontal="right" readingOrder="0" vertical="center"/>
    </xf>
    <xf borderId="6" fillId="4" fontId="12" numFmtId="165" xfId="0" applyAlignment="1" applyBorder="1" applyFont="1" applyNumberFormat="1">
      <alignment horizontal="left" readingOrder="0" vertical="center"/>
    </xf>
    <xf borderId="4" fillId="2" fontId="11" numFmtId="0" xfId="0" applyAlignment="1" applyBorder="1" applyFont="1">
      <alignment readingOrder="0" vertical="center"/>
    </xf>
    <xf borderId="23" fillId="4" fontId="12" numFmtId="164" xfId="0" applyAlignment="1" applyBorder="1" applyFont="1" applyNumberFormat="1">
      <alignment horizontal="left" readingOrder="0" vertical="center"/>
    </xf>
    <xf borderId="6" fillId="4" fontId="12" numFmtId="166" xfId="0" applyAlignment="1" applyBorder="1" applyFont="1" applyNumberFormat="1">
      <alignment horizontal="left" readingOrder="0" vertical="center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right" readingOrder="0"/>
    </xf>
    <xf borderId="0" fillId="0" fontId="17" numFmtId="0" xfId="0" applyFont="1"/>
    <xf borderId="0" fillId="0" fontId="14" numFmtId="0" xfId="0" applyAlignment="1" applyFont="1">
      <alignment readingOrder="0"/>
    </xf>
    <xf borderId="0" fillId="0" fontId="18" numFmtId="0" xfId="0" applyAlignment="1" applyFont="1">
      <alignment horizontal="right" vertical="bottom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E4500"/>
      </a:accent1>
      <a:accent2>
        <a:srgbClr val="ECE5E8"/>
      </a:accent2>
      <a:accent3>
        <a:srgbClr val="FCE22A"/>
      </a:accent3>
      <a:accent4>
        <a:srgbClr val="347E8C"/>
      </a:accent4>
      <a:accent5>
        <a:srgbClr val="F69B53"/>
      </a:accent5>
      <a:accent6>
        <a:srgbClr val="3C7E51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 fitToPage="1"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36.25"/>
    <col customWidth="1" min="3" max="4" width="16.88"/>
    <col customWidth="1" min="5" max="5" width="19.13"/>
    <col customWidth="1" min="6" max="6" width="15.88"/>
    <col customWidth="1" min="7" max="7" width="2.88"/>
    <col customWidth="1" min="8" max="8" width="33.5"/>
    <col customWidth="1" min="9" max="10" width="15.88"/>
    <col customWidth="1" min="11" max="11" width="19.13"/>
    <col customWidth="1" min="12" max="12" width="15.88"/>
    <col customWidth="1" min="13" max="13" width="2.88"/>
    <col customWidth="1" min="14" max="30" width="9.13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79.5" customHeight="1">
      <c r="A2" s="3"/>
      <c r="B2" s="4" t="s">
        <v>2</v>
      </c>
      <c r="C2" s="5"/>
      <c r="D2" s="5"/>
      <c r="E2" s="5"/>
      <c r="F2" s="5"/>
      <c r="G2" s="5"/>
      <c r="H2" s="6"/>
      <c r="I2" s="7"/>
      <c r="J2" s="8"/>
      <c r="K2" s="8"/>
      <c r="L2" s="8" t="s">
        <v>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30.0" customHeight="1">
      <c r="A3" s="3"/>
      <c r="B3" s="9"/>
      <c r="C3" s="10"/>
      <c r="D3" s="10"/>
      <c r="E3" s="10"/>
      <c r="F3" s="10"/>
      <c r="G3" s="10"/>
      <c r="H3" s="10"/>
      <c r="I3" s="7"/>
      <c r="J3" s="11"/>
      <c r="K3" s="11"/>
      <c r="L3" s="1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30.0" customHeight="1">
      <c r="A4" s="3"/>
      <c r="B4" s="12" t="s">
        <v>4</v>
      </c>
      <c r="C4" s="13" t="str">
        <f>IFERROR(__xludf.DUMMYFUNCTION("IMPORTRANGE(""https://docs.google.com/spreadsheets/d/1DTXmsuPMnsB3ZSqgHnYctjxbXjmJaXPzW2d7wwrshCA/edit?gid=410936704#gid=410936704"",""Expenses!C4"")"),"#REF!")</f>
        <v>#REF!</v>
      </c>
      <c r="D4" s="13"/>
      <c r="E4" s="14"/>
      <c r="F4" s="14"/>
      <c r="G4" s="14"/>
      <c r="H4" s="14"/>
      <c r="I4" s="15" t="s">
        <v>5</v>
      </c>
      <c r="J4" s="15"/>
      <c r="K4" s="15"/>
      <c r="L4" s="15" t="s">
        <v>6</v>
      </c>
      <c r="M4" s="16"/>
      <c r="N4" s="16"/>
      <c r="O4" s="16"/>
      <c r="P4" s="17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30.0" customHeight="1">
      <c r="A5" s="3"/>
      <c r="B5" s="18"/>
      <c r="C5" s="19" t="str">
        <f>IFERROR(__xludf.DUMMYFUNCTION("IMPORTRANGE(""https://docs.google.com/spreadsheets/d/1DTXmsuPMnsB3ZSqgHnYctjxbXjmJaXPzW2d7wwrshCA/edit?gid=410936704#gid=410936704"",""Expenses!C5"")"),"#REF!")</f>
        <v>#REF!</v>
      </c>
      <c r="D5" s="20"/>
      <c r="E5" s="20"/>
      <c r="F5" s="21"/>
      <c r="G5" s="22"/>
      <c r="H5" s="22"/>
      <c r="I5" s="23">
        <f>SUM(B39,H39,B73,H73,B80,B94,H94)</f>
        <v>7795</v>
      </c>
      <c r="J5" s="23"/>
      <c r="K5" s="23"/>
      <c r="L5" s="23">
        <f>SUM(D39,J39,D73,J73,D80,D94,J94)</f>
        <v>1479.36</v>
      </c>
      <c r="M5" s="2"/>
      <c r="N5" s="2"/>
      <c r="O5" s="2"/>
      <c r="P5" s="24"/>
      <c r="Q5" s="25"/>
      <c r="R5" s="26"/>
      <c r="S5" s="25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30.0" customHeight="1">
      <c r="A6" s="27"/>
      <c r="B6" s="28"/>
      <c r="C6" s="29"/>
      <c r="D6" s="29"/>
      <c r="E6" s="29"/>
      <c r="F6" s="29"/>
      <c r="G6" s="30"/>
      <c r="H6" s="30"/>
      <c r="I6" s="30"/>
      <c r="J6" s="29"/>
      <c r="K6" s="29"/>
      <c r="L6" s="29"/>
      <c r="M6" s="2"/>
      <c r="N6" s="2"/>
      <c r="O6" s="2"/>
      <c r="P6" s="24"/>
      <c r="Q6" s="25"/>
      <c r="R6" s="26"/>
      <c r="S6" s="25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30.0" customHeight="1">
      <c r="A7" s="3"/>
      <c r="B7" s="31" t="s">
        <v>7</v>
      </c>
      <c r="C7" s="32" t="s">
        <v>8</v>
      </c>
      <c r="D7" s="33" t="s">
        <v>9</v>
      </c>
      <c r="E7" s="33" t="s">
        <v>10</v>
      </c>
      <c r="F7" s="33" t="s">
        <v>11</v>
      </c>
      <c r="G7" s="34"/>
      <c r="H7" s="31" t="s">
        <v>12</v>
      </c>
      <c r="I7" s="32" t="s">
        <v>8</v>
      </c>
      <c r="J7" s="33" t="s">
        <v>9</v>
      </c>
      <c r="K7" s="33" t="s">
        <v>10</v>
      </c>
      <c r="L7" s="33" t="s">
        <v>11</v>
      </c>
      <c r="M7" s="35"/>
      <c r="N7" s="35"/>
      <c r="O7" s="35"/>
      <c r="P7" s="24"/>
      <c r="Q7" s="25"/>
      <c r="R7" s="26"/>
      <c r="S7" s="2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</row>
    <row r="8" ht="30.0" customHeight="1">
      <c r="A8" s="27"/>
      <c r="B8" s="36"/>
      <c r="C8" s="37" t="s">
        <v>13</v>
      </c>
      <c r="D8" s="37"/>
      <c r="E8" s="37"/>
      <c r="F8" s="37"/>
      <c r="G8" s="34"/>
      <c r="H8" s="36" t="s">
        <v>14</v>
      </c>
      <c r="I8" s="37" t="s">
        <v>15</v>
      </c>
      <c r="J8" s="37"/>
      <c r="K8" s="37">
        <v>84.36</v>
      </c>
      <c r="L8" s="37"/>
      <c r="M8" s="2"/>
      <c r="N8" s="2"/>
      <c r="O8" s="2"/>
      <c r="P8" s="24"/>
      <c r="Q8" s="25"/>
      <c r="R8" s="26"/>
      <c r="S8" s="26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30.0" customHeight="1">
      <c r="A9" s="27"/>
      <c r="B9" s="36"/>
      <c r="C9" s="37"/>
      <c r="D9" s="37"/>
      <c r="E9" s="38"/>
      <c r="F9" s="38"/>
      <c r="G9" s="34"/>
      <c r="H9" s="36"/>
      <c r="I9" s="37"/>
      <c r="J9" s="37"/>
      <c r="K9" s="38"/>
      <c r="L9" s="38"/>
      <c r="M9" s="2"/>
      <c r="N9" s="39"/>
      <c r="O9" s="2"/>
      <c r="P9" s="24"/>
      <c r="Q9" s="25"/>
      <c r="R9" s="26"/>
      <c r="S9" s="26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30.0" customHeight="1">
      <c r="A10" s="27"/>
      <c r="B10" s="40"/>
      <c r="C10" s="41"/>
      <c r="D10" s="41"/>
      <c r="E10" s="42"/>
      <c r="F10" s="42"/>
      <c r="G10" s="34"/>
      <c r="H10" s="40"/>
      <c r="I10" s="41"/>
      <c r="J10" s="41"/>
      <c r="K10" s="42"/>
      <c r="L10" s="42"/>
      <c r="M10" s="2"/>
      <c r="N10" s="43"/>
      <c r="O10" s="2"/>
      <c r="P10" s="24"/>
      <c r="Q10" s="26"/>
      <c r="R10" s="26"/>
      <c r="S10" s="26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30.0" customHeight="1">
      <c r="A11" s="27"/>
      <c r="B11" s="44"/>
      <c r="C11" s="45"/>
      <c r="D11" s="46"/>
      <c r="E11" s="47"/>
      <c r="F11" s="47"/>
      <c r="G11" s="34"/>
      <c r="H11" s="44"/>
      <c r="I11" s="45"/>
      <c r="J11" s="46"/>
      <c r="K11" s="47"/>
      <c r="L11" s="47"/>
      <c r="M11" s="2"/>
      <c r="O11" s="2"/>
      <c r="P11" s="48"/>
      <c r="Q11" s="25"/>
      <c r="R11" s="26"/>
      <c r="S11" s="26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30.0" customHeight="1">
      <c r="A12" s="27"/>
      <c r="B12" s="44"/>
      <c r="C12" s="45"/>
      <c r="D12" s="46"/>
      <c r="E12" s="47"/>
      <c r="F12" s="47"/>
      <c r="G12" s="34"/>
      <c r="H12" s="44"/>
      <c r="I12" s="45"/>
      <c r="J12" s="46"/>
      <c r="K12" s="47"/>
      <c r="L12" s="47"/>
      <c r="M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30.0" customHeight="1">
      <c r="A13" s="27"/>
      <c r="B13" s="44"/>
      <c r="C13" s="45"/>
      <c r="D13" s="46"/>
      <c r="E13" s="47"/>
      <c r="F13" s="47"/>
      <c r="G13" s="34"/>
      <c r="H13" s="44"/>
      <c r="I13" s="45"/>
      <c r="J13" s="46"/>
      <c r="K13" s="47"/>
      <c r="L13" s="47"/>
      <c r="M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30.0" customHeight="1">
      <c r="A14" s="27"/>
      <c r="B14" s="40"/>
      <c r="C14" s="49"/>
      <c r="D14" s="50"/>
      <c r="E14" s="51"/>
      <c r="F14" s="51"/>
      <c r="G14" s="34"/>
      <c r="H14" s="40"/>
      <c r="I14" s="49"/>
      <c r="J14" s="51"/>
      <c r="K14" s="51"/>
      <c r="L14" s="51"/>
      <c r="M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30.0" customHeight="1">
      <c r="A15" s="27"/>
      <c r="B15" s="40"/>
      <c r="C15" s="49"/>
      <c r="D15" s="50"/>
      <c r="E15" s="51"/>
      <c r="F15" s="51"/>
      <c r="G15" s="52"/>
      <c r="H15" s="40"/>
      <c r="I15" s="49"/>
      <c r="J15" s="50"/>
      <c r="K15" s="51"/>
      <c r="L15" s="51"/>
      <c r="M15" s="2"/>
      <c r="O15" s="2"/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30.0" customHeight="1">
      <c r="A16" s="27"/>
      <c r="B16" s="40"/>
      <c r="C16" s="49"/>
      <c r="D16" s="50"/>
      <c r="E16" s="51"/>
      <c r="F16" s="51"/>
      <c r="G16" s="52"/>
      <c r="H16" s="40"/>
      <c r="I16" s="49"/>
      <c r="J16" s="51"/>
      <c r="K16" s="51"/>
      <c r="L16" s="51"/>
      <c r="M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30.0" customHeight="1">
      <c r="A17" s="27"/>
      <c r="B17" s="40"/>
      <c r="C17" s="49"/>
      <c r="D17" s="51"/>
      <c r="E17" s="51"/>
      <c r="F17" s="51"/>
      <c r="G17" s="52"/>
      <c r="H17" s="40"/>
      <c r="I17" s="49"/>
      <c r="J17" s="51"/>
      <c r="K17" s="51"/>
      <c r="L17" s="51"/>
      <c r="M17" s="2"/>
      <c r="O17" s="2"/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30.0" customHeight="1">
      <c r="A18" s="27"/>
      <c r="B18" s="40"/>
      <c r="C18" s="49"/>
      <c r="D18" s="51"/>
      <c r="E18" s="51"/>
      <c r="F18" s="51"/>
      <c r="G18" s="52"/>
      <c r="H18" s="40"/>
      <c r="I18" s="49"/>
      <c r="J18" s="51"/>
      <c r="K18" s="51"/>
      <c r="L18" s="5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30.0" customHeight="1">
      <c r="A19" s="27"/>
      <c r="B19" s="40"/>
      <c r="C19" s="49"/>
      <c r="D19" s="50"/>
      <c r="E19" s="51"/>
      <c r="F19" s="51"/>
      <c r="G19" s="52"/>
      <c r="H19" s="40"/>
      <c r="I19" s="49"/>
      <c r="J19" s="50"/>
      <c r="K19" s="51"/>
      <c r="L19" s="50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30.0" customHeight="1">
      <c r="A20" s="27"/>
      <c r="B20" s="40"/>
      <c r="C20" s="45"/>
      <c r="D20" s="46"/>
      <c r="E20" s="47"/>
      <c r="F20" s="51"/>
      <c r="G20" s="52"/>
      <c r="H20" s="40"/>
      <c r="I20" s="45"/>
      <c r="J20" s="46"/>
      <c r="K20" s="47"/>
      <c r="L20" s="5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30.0" customHeight="1">
      <c r="A21" s="27"/>
      <c r="B21" s="40"/>
      <c r="C21" s="41"/>
      <c r="D21" s="49"/>
      <c r="E21" s="53"/>
      <c r="F21" s="53"/>
      <c r="G21" s="52"/>
      <c r="H21" s="40"/>
      <c r="I21" s="41"/>
      <c r="J21" s="49"/>
      <c r="K21" s="53"/>
      <c r="L21" s="53"/>
      <c r="M21" s="43"/>
      <c r="N21" s="4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30.0" customHeight="1">
      <c r="A22" s="27"/>
      <c r="B22" s="54"/>
      <c r="C22" s="55"/>
      <c r="D22" s="46"/>
      <c r="E22" s="47"/>
      <c r="F22" s="47"/>
      <c r="G22" s="56"/>
      <c r="H22" s="54"/>
      <c r="I22" s="55"/>
      <c r="J22" s="46"/>
      <c r="K22" s="47"/>
      <c r="L22" s="47"/>
      <c r="M22" s="43"/>
      <c r="N22" s="4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30.0" customHeight="1">
      <c r="A23" s="27"/>
      <c r="B23" s="54"/>
      <c r="C23" s="57"/>
      <c r="D23" s="46"/>
      <c r="E23" s="47"/>
      <c r="F23" s="47"/>
      <c r="G23" s="56"/>
      <c r="H23" s="54"/>
      <c r="I23" s="57"/>
      <c r="J23" s="46"/>
      <c r="K23" s="47"/>
      <c r="L23" s="47"/>
      <c r="M23" s="2"/>
      <c r="N23" s="43"/>
      <c r="O23" s="4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30.0" customHeight="1">
      <c r="A24" s="27"/>
      <c r="B24" s="54"/>
      <c r="C24" s="57"/>
      <c r="D24" s="46"/>
      <c r="E24" s="47"/>
      <c r="F24" s="47"/>
      <c r="G24" s="56"/>
      <c r="H24" s="54"/>
      <c r="I24" s="57"/>
      <c r="J24" s="46"/>
      <c r="K24" s="47"/>
      <c r="L24" s="47"/>
      <c r="M24" s="43"/>
      <c r="N24" s="4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30.0" customHeight="1">
      <c r="A25" s="27"/>
      <c r="B25" s="54"/>
      <c r="C25" s="57"/>
      <c r="D25" s="46"/>
      <c r="E25" s="47"/>
      <c r="F25" s="47"/>
      <c r="G25" s="52"/>
      <c r="H25" s="54"/>
      <c r="I25" s="57"/>
      <c r="J25" s="46"/>
      <c r="K25" s="47"/>
      <c r="L25" s="47"/>
      <c r="M25" s="43"/>
      <c r="N25" s="4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30.0" customHeight="1">
      <c r="A26" s="27"/>
      <c r="B26" s="40"/>
      <c r="C26" s="57"/>
      <c r="D26" s="46"/>
      <c r="E26" s="47"/>
      <c r="F26" s="47"/>
      <c r="G26" s="52"/>
      <c r="H26" s="40"/>
      <c r="I26" s="57"/>
      <c r="J26" s="46"/>
      <c r="K26" s="47"/>
      <c r="L26" s="47"/>
      <c r="M26" s="43"/>
      <c r="N26" s="4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30.0" customHeight="1">
      <c r="A27" s="27"/>
      <c r="B27" s="40"/>
      <c r="C27" s="57"/>
      <c r="D27" s="46"/>
      <c r="E27" s="47"/>
      <c r="F27" s="47"/>
      <c r="G27" s="56"/>
      <c r="H27" s="40"/>
      <c r="I27" s="57"/>
      <c r="J27" s="46"/>
      <c r="K27" s="47"/>
      <c r="L27" s="47"/>
      <c r="M27" s="43"/>
      <c r="N27" s="5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30.0" customHeight="1">
      <c r="A28" s="27"/>
      <c r="B28" s="40"/>
      <c r="C28" s="49"/>
      <c r="D28" s="50"/>
      <c r="E28" s="51"/>
      <c r="F28" s="51"/>
      <c r="G28" s="56"/>
      <c r="H28" s="40"/>
      <c r="I28" s="49"/>
      <c r="J28" s="50"/>
      <c r="K28" s="51"/>
      <c r="L28" s="5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30.0" customHeight="1">
      <c r="A29" s="27"/>
      <c r="B29" s="59"/>
      <c r="C29" s="60"/>
      <c r="D29" s="60"/>
      <c r="E29" s="61"/>
      <c r="F29" s="61"/>
      <c r="G29" s="56"/>
      <c r="H29" s="59"/>
      <c r="I29" s="60"/>
      <c r="J29" s="60"/>
      <c r="K29" s="61"/>
      <c r="L29" s="6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30.0" customHeight="1">
      <c r="A30" s="27"/>
      <c r="B30" s="62"/>
      <c r="C30" s="63"/>
      <c r="D30" s="63"/>
      <c r="E30" s="64"/>
      <c r="F30" s="64"/>
      <c r="G30" s="56"/>
      <c r="H30" s="62"/>
      <c r="I30" s="63"/>
      <c r="J30" s="63"/>
      <c r="K30" s="64"/>
      <c r="L30" s="6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30.0" customHeight="1">
      <c r="A31" s="27"/>
      <c r="B31" s="65"/>
      <c r="C31" s="66"/>
      <c r="D31" s="66"/>
      <c r="E31" s="67"/>
      <c r="F31" s="67"/>
      <c r="G31" s="56"/>
      <c r="H31" s="65"/>
      <c r="I31" s="66"/>
      <c r="J31" s="66"/>
      <c r="K31" s="67"/>
      <c r="L31" s="6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30.0" customHeight="1">
      <c r="A32" s="27"/>
      <c r="B32" s="65"/>
      <c r="C32" s="66"/>
      <c r="D32" s="66"/>
      <c r="E32" s="67"/>
      <c r="F32" s="67"/>
      <c r="G32" s="56"/>
      <c r="H32" s="65"/>
      <c r="I32" s="66"/>
      <c r="J32" s="66"/>
      <c r="K32" s="67"/>
      <c r="L32" s="6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30.0" customHeight="1">
      <c r="A33" s="27"/>
      <c r="B33" s="65"/>
      <c r="C33" s="66"/>
      <c r="D33" s="66"/>
      <c r="E33" s="67"/>
      <c r="F33" s="67"/>
      <c r="G33" s="56"/>
      <c r="H33" s="65"/>
      <c r="I33" s="66"/>
      <c r="J33" s="66"/>
      <c r="K33" s="67"/>
      <c r="L33" s="6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30.0" customHeight="1">
      <c r="A34" s="27"/>
      <c r="B34" s="65"/>
      <c r="C34" s="66"/>
      <c r="D34" s="66"/>
      <c r="E34" s="67"/>
      <c r="F34" s="67"/>
      <c r="G34" s="56"/>
      <c r="H34" s="65"/>
      <c r="I34" s="66"/>
      <c r="J34" s="66"/>
      <c r="K34" s="67"/>
      <c r="L34" s="6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30.0" customHeight="1">
      <c r="A35" s="27"/>
      <c r="B35" s="65"/>
      <c r="C35" s="66"/>
      <c r="D35" s="66"/>
      <c r="E35" s="67"/>
      <c r="F35" s="67"/>
      <c r="G35" s="56"/>
      <c r="H35" s="65"/>
      <c r="I35" s="66"/>
      <c r="J35" s="66"/>
      <c r="K35" s="67"/>
      <c r="L35" s="67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30.0" customHeight="1">
      <c r="A36" s="27"/>
      <c r="B36" s="65"/>
      <c r="C36" s="66"/>
      <c r="D36" s="66"/>
      <c r="E36" s="67"/>
      <c r="F36" s="67"/>
      <c r="G36" s="56"/>
      <c r="H36" s="65"/>
      <c r="I36" s="66"/>
      <c r="J36" s="66"/>
      <c r="K36" s="67"/>
      <c r="L36" s="6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30.0" customHeight="1">
      <c r="A37" s="27"/>
      <c r="B37" s="65"/>
      <c r="C37" s="66"/>
      <c r="D37" s="66"/>
      <c r="E37" s="67"/>
      <c r="F37" s="67"/>
      <c r="G37" s="56"/>
      <c r="H37" s="65"/>
      <c r="I37" s="66"/>
      <c r="J37" s="66"/>
      <c r="K37" s="67"/>
      <c r="L37" s="6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30.0" customHeight="1">
      <c r="A38" s="27"/>
      <c r="B38" s="68" t="s">
        <v>16</v>
      </c>
      <c r="C38" s="69" t="s">
        <v>17</v>
      </c>
      <c r="D38" s="70">
        <f t="shared" ref="D38:E38" si="1">SUM(D7:D30)</f>
        <v>0</v>
      </c>
      <c r="E38" s="70">
        <f t="shared" si="1"/>
        <v>0</v>
      </c>
      <c r="F38" s="70">
        <f>SUM(F8:F37)</f>
        <v>0</v>
      </c>
      <c r="G38" s="52"/>
      <c r="H38" s="68" t="s">
        <v>16</v>
      </c>
      <c r="I38" s="71" t="s">
        <v>17</v>
      </c>
      <c r="J38" s="72">
        <f t="shared" ref="J38:K38" si="2">SUM(J7:J30)</f>
        <v>0</v>
      </c>
      <c r="K38" s="72">
        <f t="shared" si="2"/>
        <v>84.36</v>
      </c>
      <c r="L38" s="70">
        <f>SUM(L8:L37)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30.0" customHeight="1">
      <c r="A39" s="27"/>
      <c r="B39" s="73">
        <v>3000.0</v>
      </c>
      <c r="C39" s="71" t="s">
        <v>18</v>
      </c>
      <c r="D39" s="74">
        <f>SUM(D38:F38)</f>
        <v>0</v>
      </c>
      <c r="E39" s="75" t="s">
        <v>19</v>
      </c>
      <c r="F39" s="74">
        <f>B39-D39</f>
        <v>3000</v>
      </c>
      <c r="G39" s="34"/>
      <c r="H39" s="76">
        <v>2000.0</v>
      </c>
      <c r="I39" s="71" t="s">
        <v>18</v>
      </c>
      <c r="J39" s="74">
        <f>SUM(J38:L38)</f>
        <v>84.36</v>
      </c>
      <c r="K39" s="75" t="s">
        <v>19</v>
      </c>
      <c r="L39" s="74">
        <f>H39-J39</f>
        <v>1915.64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30.0" customHeight="1">
      <c r="A40" s="27"/>
      <c r="B40" s="77"/>
      <c r="C40" s="78"/>
      <c r="D40" s="78"/>
      <c r="E40" s="78"/>
      <c r="F40" s="78"/>
      <c r="G40" s="34"/>
      <c r="H40" s="77"/>
      <c r="I40" s="78"/>
      <c r="J40" s="78"/>
      <c r="K40" s="78"/>
      <c r="L40" s="78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30.0" customHeight="1">
      <c r="A41" s="27"/>
      <c r="B41" s="31" t="s">
        <v>20</v>
      </c>
      <c r="C41" s="32" t="s">
        <v>8</v>
      </c>
      <c r="D41" s="33" t="s">
        <v>9</v>
      </c>
      <c r="E41" s="33" t="s">
        <v>10</v>
      </c>
      <c r="F41" s="33" t="s">
        <v>11</v>
      </c>
      <c r="G41" s="34"/>
      <c r="H41" s="31" t="s">
        <v>21</v>
      </c>
      <c r="I41" s="32" t="s">
        <v>8</v>
      </c>
      <c r="J41" s="33" t="s">
        <v>9</v>
      </c>
      <c r="K41" s="33" t="s">
        <v>10</v>
      </c>
      <c r="L41" s="33" t="s">
        <v>11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30.0" customHeight="1">
      <c r="A42" s="27"/>
      <c r="B42" s="36"/>
      <c r="C42" s="37"/>
      <c r="D42" s="37"/>
      <c r="E42" s="37"/>
      <c r="F42" s="37"/>
      <c r="G42" s="34"/>
      <c r="H42" s="36"/>
      <c r="I42" s="37"/>
      <c r="J42" s="37"/>
      <c r="K42" s="37"/>
      <c r="L42" s="3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30.0" customHeight="1">
      <c r="A43" s="27"/>
      <c r="B43" s="36"/>
      <c r="C43" s="37"/>
      <c r="D43" s="37"/>
      <c r="E43" s="38"/>
      <c r="F43" s="38"/>
      <c r="G43" s="34"/>
      <c r="H43" s="36"/>
      <c r="I43" s="37"/>
      <c r="J43" s="37"/>
      <c r="K43" s="38"/>
      <c r="L43" s="38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30.0" customHeight="1">
      <c r="A44" s="27"/>
      <c r="B44" s="40"/>
      <c r="C44" s="41"/>
      <c r="D44" s="41"/>
      <c r="E44" s="42"/>
      <c r="F44" s="42"/>
      <c r="G44" s="34"/>
      <c r="H44" s="40"/>
      <c r="I44" s="41"/>
      <c r="J44" s="41"/>
      <c r="K44" s="42"/>
      <c r="L44" s="4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30.0" customHeight="1">
      <c r="A45" s="27"/>
      <c r="B45" s="44"/>
      <c r="C45" s="45"/>
      <c r="D45" s="46"/>
      <c r="E45" s="47"/>
      <c r="F45" s="47"/>
      <c r="G45" s="34"/>
      <c r="H45" s="44"/>
      <c r="I45" s="45"/>
      <c r="J45" s="46"/>
      <c r="K45" s="47"/>
      <c r="L45" s="4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30.0" customHeight="1">
      <c r="A46" s="27"/>
      <c r="B46" s="44"/>
      <c r="C46" s="45"/>
      <c r="D46" s="46"/>
      <c r="E46" s="47"/>
      <c r="F46" s="47"/>
      <c r="G46" s="34"/>
      <c r="H46" s="44"/>
      <c r="I46" s="45"/>
      <c r="J46" s="46"/>
      <c r="K46" s="47"/>
      <c r="L46" s="4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30.0" customHeight="1">
      <c r="A47" s="27"/>
      <c r="B47" s="44"/>
      <c r="C47" s="45"/>
      <c r="D47" s="46"/>
      <c r="E47" s="47"/>
      <c r="F47" s="47"/>
      <c r="G47" s="34"/>
      <c r="H47" s="44"/>
      <c r="I47" s="45"/>
      <c r="J47" s="46"/>
      <c r="K47" s="47"/>
      <c r="L47" s="4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30.0" customHeight="1">
      <c r="A48" s="27"/>
      <c r="B48" s="40"/>
      <c r="C48" s="49"/>
      <c r="D48" s="50"/>
      <c r="E48" s="51"/>
      <c r="F48" s="51"/>
      <c r="G48" s="34"/>
      <c r="H48" s="40"/>
      <c r="I48" s="49"/>
      <c r="J48" s="50"/>
      <c r="K48" s="51"/>
      <c r="L48" s="51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30.0" customHeight="1">
      <c r="A49" s="27"/>
      <c r="B49" s="40"/>
      <c r="C49" s="49"/>
      <c r="D49" s="50"/>
      <c r="E49" s="51"/>
      <c r="F49" s="51"/>
      <c r="G49" s="34"/>
      <c r="H49" s="40"/>
      <c r="I49" s="49"/>
      <c r="J49" s="50"/>
      <c r="K49" s="51"/>
      <c r="L49" s="5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30.0" customHeight="1">
      <c r="A50" s="27"/>
      <c r="B50" s="40"/>
      <c r="C50" s="49"/>
      <c r="D50" s="50"/>
      <c r="E50" s="51"/>
      <c r="F50" s="51"/>
      <c r="G50" s="34"/>
      <c r="H50" s="40"/>
      <c r="I50" s="49"/>
      <c r="J50" s="50"/>
      <c r="K50" s="51"/>
      <c r="L50" s="5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30.0" customHeight="1">
      <c r="A51" s="27"/>
      <c r="B51" s="40"/>
      <c r="C51" s="49"/>
      <c r="D51" s="51"/>
      <c r="E51" s="51"/>
      <c r="F51" s="51"/>
      <c r="G51" s="34"/>
      <c r="H51" s="40"/>
      <c r="I51" s="49"/>
      <c r="J51" s="51"/>
      <c r="K51" s="51"/>
      <c r="L51" s="51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30.0" customHeight="1">
      <c r="A52" s="27"/>
      <c r="B52" s="40"/>
      <c r="C52" s="49"/>
      <c r="D52" s="51"/>
      <c r="E52" s="51"/>
      <c r="F52" s="51"/>
      <c r="G52" s="34"/>
      <c r="H52" s="40"/>
      <c r="I52" s="49"/>
      <c r="J52" s="51"/>
      <c r="K52" s="51"/>
      <c r="L52" s="51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30.0" customHeight="1">
      <c r="A53" s="27"/>
      <c r="B53" s="40"/>
      <c r="C53" s="49"/>
      <c r="D53" s="50"/>
      <c r="E53" s="51"/>
      <c r="F53" s="51"/>
      <c r="G53" s="34"/>
      <c r="H53" s="40"/>
      <c r="I53" s="49"/>
      <c r="J53" s="50"/>
      <c r="K53" s="51"/>
      <c r="L53" s="5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30.0" customHeight="1">
      <c r="A54" s="27"/>
      <c r="B54" s="40"/>
      <c r="C54" s="45"/>
      <c r="D54" s="46"/>
      <c r="E54" s="47"/>
      <c r="F54" s="51"/>
      <c r="G54" s="34"/>
      <c r="H54" s="40"/>
      <c r="I54" s="45"/>
      <c r="J54" s="46"/>
      <c r="K54" s="47"/>
      <c r="L54" s="5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30.0" customHeight="1">
      <c r="A55" s="27"/>
      <c r="B55" s="40"/>
      <c r="C55" s="41"/>
      <c r="D55" s="49"/>
      <c r="E55" s="53"/>
      <c r="F55" s="53"/>
      <c r="G55" s="34"/>
      <c r="H55" s="40"/>
      <c r="I55" s="41"/>
      <c r="J55" s="49"/>
      <c r="K55" s="53"/>
      <c r="L55" s="5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30.0" customHeight="1">
      <c r="A56" s="27"/>
      <c r="B56" s="54"/>
      <c r="C56" s="55"/>
      <c r="D56" s="46"/>
      <c r="E56" s="47"/>
      <c r="F56" s="47"/>
      <c r="G56" s="34"/>
      <c r="H56" s="54"/>
      <c r="I56" s="55"/>
      <c r="J56" s="46"/>
      <c r="K56" s="47"/>
      <c r="L56" s="4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30.0" customHeight="1">
      <c r="A57" s="27"/>
      <c r="B57" s="54"/>
      <c r="C57" s="57"/>
      <c r="D57" s="46"/>
      <c r="E57" s="47"/>
      <c r="F57" s="47"/>
      <c r="G57" s="34"/>
      <c r="H57" s="54"/>
      <c r="I57" s="57"/>
      <c r="J57" s="46"/>
      <c r="K57" s="47"/>
      <c r="L57" s="4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30.0" customHeight="1">
      <c r="A58" s="27"/>
      <c r="B58" s="54"/>
      <c r="C58" s="57"/>
      <c r="D58" s="46"/>
      <c r="E58" s="47"/>
      <c r="F58" s="47"/>
      <c r="G58" s="34"/>
      <c r="H58" s="54"/>
      <c r="I58" s="57"/>
      <c r="J58" s="46"/>
      <c r="K58" s="47"/>
      <c r="L58" s="4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30.0" customHeight="1">
      <c r="A59" s="27"/>
      <c r="B59" s="54"/>
      <c r="C59" s="57"/>
      <c r="D59" s="46"/>
      <c r="E59" s="47"/>
      <c r="F59" s="47"/>
      <c r="G59" s="34"/>
      <c r="H59" s="54"/>
      <c r="I59" s="57"/>
      <c r="J59" s="46"/>
      <c r="K59" s="47"/>
      <c r="L59" s="4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30.0" customHeight="1">
      <c r="A60" s="27"/>
      <c r="B60" s="40"/>
      <c r="C60" s="57"/>
      <c r="D60" s="46"/>
      <c r="E60" s="47"/>
      <c r="F60" s="47"/>
      <c r="G60" s="34"/>
      <c r="H60" s="40"/>
      <c r="I60" s="57"/>
      <c r="J60" s="46"/>
      <c r="K60" s="47"/>
      <c r="L60" s="4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30.0" customHeight="1">
      <c r="A61" s="27"/>
      <c r="B61" s="40"/>
      <c r="C61" s="57"/>
      <c r="D61" s="46"/>
      <c r="E61" s="47"/>
      <c r="F61" s="47"/>
      <c r="G61" s="34"/>
      <c r="H61" s="40"/>
      <c r="I61" s="57"/>
      <c r="J61" s="46"/>
      <c r="K61" s="47"/>
      <c r="L61" s="4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30.0" customHeight="1">
      <c r="A62" s="27"/>
      <c r="B62" s="40"/>
      <c r="C62" s="49"/>
      <c r="D62" s="50"/>
      <c r="E62" s="51"/>
      <c r="F62" s="51"/>
      <c r="G62" s="34"/>
      <c r="H62" s="40"/>
      <c r="I62" s="49"/>
      <c r="J62" s="50"/>
      <c r="K62" s="51"/>
      <c r="L62" s="5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30.0" customHeight="1">
      <c r="A63" s="27"/>
      <c r="B63" s="59"/>
      <c r="C63" s="60"/>
      <c r="D63" s="60"/>
      <c r="E63" s="61"/>
      <c r="F63" s="61"/>
      <c r="G63" s="34"/>
      <c r="H63" s="79"/>
      <c r="I63" s="80"/>
      <c r="J63" s="80"/>
      <c r="K63" s="81"/>
      <c r="L63" s="81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30.0" customHeight="1">
      <c r="A64" s="27"/>
      <c r="B64" s="62"/>
      <c r="C64" s="63"/>
      <c r="D64" s="63"/>
      <c r="E64" s="64"/>
      <c r="F64" s="64"/>
      <c r="G64" s="34"/>
      <c r="H64" s="82"/>
      <c r="I64" s="50"/>
      <c r="J64" s="50"/>
      <c r="K64" s="51"/>
      <c r="L64" s="51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30.0" customHeight="1">
      <c r="A65" s="27"/>
      <c r="B65" s="65"/>
      <c r="C65" s="66"/>
      <c r="D65" s="66"/>
      <c r="E65" s="67"/>
      <c r="F65" s="67"/>
      <c r="G65" s="34"/>
      <c r="H65" s="83"/>
      <c r="I65" s="84"/>
      <c r="J65" s="84"/>
      <c r="K65" s="85"/>
      <c r="L65" s="85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30.0" customHeight="1">
      <c r="A66" s="27"/>
      <c r="B66" s="65"/>
      <c r="C66" s="66"/>
      <c r="D66" s="66"/>
      <c r="E66" s="67"/>
      <c r="F66" s="67"/>
      <c r="G66" s="34"/>
      <c r="H66" s="83"/>
      <c r="I66" s="84"/>
      <c r="J66" s="84"/>
      <c r="K66" s="85"/>
      <c r="L66" s="85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30.0" customHeight="1">
      <c r="A67" s="27"/>
      <c r="B67" s="65"/>
      <c r="C67" s="66"/>
      <c r="D67" s="66"/>
      <c r="E67" s="67"/>
      <c r="F67" s="67"/>
      <c r="G67" s="34"/>
      <c r="H67" s="83"/>
      <c r="I67" s="84"/>
      <c r="J67" s="84"/>
      <c r="K67" s="85"/>
      <c r="L67" s="85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30.0" customHeight="1">
      <c r="A68" s="27"/>
      <c r="B68" s="65"/>
      <c r="C68" s="66"/>
      <c r="D68" s="66"/>
      <c r="E68" s="67"/>
      <c r="F68" s="67"/>
      <c r="G68" s="34"/>
      <c r="H68" s="83"/>
      <c r="I68" s="84"/>
      <c r="J68" s="84"/>
      <c r="K68" s="85"/>
      <c r="L68" s="85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30.0" customHeight="1">
      <c r="A69" s="27"/>
      <c r="B69" s="65"/>
      <c r="C69" s="66"/>
      <c r="D69" s="66"/>
      <c r="E69" s="67"/>
      <c r="F69" s="67"/>
      <c r="G69" s="34"/>
      <c r="H69" s="83"/>
      <c r="I69" s="84"/>
      <c r="J69" s="84"/>
      <c r="K69" s="85"/>
      <c r="L69" s="85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30.0" customHeight="1">
      <c r="A70" s="27"/>
      <c r="B70" s="65"/>
      <c r="C70" s="66"/>
      <c r="D70" s="66"/>
      <c r="E70" s="67"/>
      <c r="F70" s="67"/>
      <c r="G70" s="34"/>
      <c r="H70" s="83"/>
      <c r="I70" s="84"/>
      <c r="J70" s="84"/>
      <c r="K70" s="85"/>
      <c r="L70" s="85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30.0" customHeight="1">
      <c r="A71" s="27"/>
      <c r="B71" s="65"/>
      <c r="C71" s="66"/>
      <c r="D71" s="66"/>
      <c r="E71" s="67"/>
      <c r="F71" s="67"/>
      <c r="G71" s="34"/>
      <c r="H71" s="83"/>
      <c r="I71" s="84"/>
      <c r="J71" s="84"/>
      <c r="K71" s="85"/>
      <c r="L71" s="85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30.0" customHeight="1">
      <c r="A72" s="27"/>
      <c r="B72" s="68" t="s">
        <v>16</v>
      </c>
      <c r="C72" s="71" t="s">
        <v>17</v>
      </c>
      <c r="D72" s="72">
        <f t="shared" ref="D72:E72" si="3">SUM(D42:D48)</f>
        <v>0</v>
      </c>
      <c r="E72" s="72">
        <f t="shared" si="3"/>
        <v>0</v>
      </c>
      <c r="F72" s="72">
        <f>SUM(F42:F71)</f>
        <v>0</v>
      </c>
      <c r="G72" s="34"/>
      <c r="H72" s="68" t="s">
        <v>16</v>
      </c>
      <c r="I72" s="71" t="s">
        <v>17</v>
      </c>
      <c r="J72" s="72">
        <f t="shared" ref="J72:K72" si="4">SUM(J42:J48)</f>
        <v>0</v>
      </c>
      <c r="K72" s="72">
        <f t="shared" si="4"/>
        <v>0</v>
      </c>
      <c r="L72" s="72">
        <f>SUM(L42:L71)</f>
        <v>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30.0" customHeight="1">
      <c r="A73" s="27"/>
      <c r="B73" s="76">
        <v>500.0</v>
      </c>
      <c r="C73" s="71" t="s">
        <v>18</v>
      </c>
      <c r="D73" s="74">
        <f>SUM(D72:F72)</f>
        <v>0</v>
      </c>
      <c r="E73" s="75" t="s">
        <v>19</v>
      </c>
      <c r="F73" s="74">
        <f>B73-D73</f>
        <v>500</v>
      </c>
      <c r="G73" s="34"/>
      <c r="H73" s="76">
        <v>100.0</v>
      </c>
      <c r="I73" s="71" t="s">
        <v>18</v>
      </c>
      <c r="J73" s="74">
        <f>SUM(J72:L72)</f>
        <v>0</v>
      </c>
      <c r="K73" s="75" t="s">
        <v>19</v>
      </c>
      <c r="L73" s="74">
        <f>H73-J73</f>
        <v>100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30.0" customHeight="1">
      <c r="A74" s="27"/>
      <c r="B74" s="77"/>
      <c r="C74" s="78"/>
      <c r="D74" s="78"/>
      <c r="E74" s="78"/>
      <c r="F74" s="78"/>
      <c r="G74" s="34"/>
      <c r="H74" s="77"/>
      <c r="I74" s="78"/>
      <c r="J74" s="78"/>
      <c r="K74" s="78"/>
      <c r="L74" s="78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30.0" customHeight="1">
      <c r="A75" s="3"/>
      <c r="B75" s="86" t="s">
        <v>22</v>
      </c>
      <c r="C75" s="32" t="s">
        <v>8</v>
      </c>
      <c r="D75" s="33" t="s">
        <v>9</v>
      </c>
      <c r="E75" s="33" t="s">
        <v>10</v>
      </c>
      <c r="F75" s="33" t="s">
        <v>11</v>
      </c>
      <c r="G75" s="34"/>
      <c r="H75" s="31" t="s">
        <v>23</v>
      </c>
      <c r="I75" s="32" t="s">
        <v>8</v>
      </c>
      <c r="J75" s="33" t="s">
        <v>9</v>
      </c>
      <c r="K75" s="33" t="s">
        <v>10</v>
      </c>
      <c r="L75" s="33" t="s">
        <v>11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30.0" customHeight="1">
      <c r="A76" s="27"/>
      <c r="B76" s="87" t="s">
        <v>24</v>
      </c>
      <c r="C76" s="88" t="s">
        <v>25</v>
      </c>
      <c r="D76" s="88"/>
      <c r="E76" s="89"/>
      <c r="F76" s="89">
        <v>875.0</v>
      </c>
      <c r="G76" s="34"/>
      <c r="H76" s="87" t="s">
        <v>26</v>
      </c>
      <c r="I76" s="88" t="s">
        <v>27</v>
      </c>
      <c r="J76" s="88"/>
      <c r="K76" s="89"/>
      <c r="L76" s="89">
        <v>400.0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30.0" customHeight="1">
      <c r="A77" s="27"/>
      <c r="B77" s="87" t="s">
        <v>28</v>
      </c>
      <c r="C77" s="88" t="s">
        <v>29</v>
      </c>
      <c r="D77" s="88"/>
      <c r="E77" s="89"/>
      <c r="F77" s="89">
        <v>120.0</v>
      </c>
      <c r="G77" s="34"/>
      <c r="H77" s="83" t="s">
        <v>30</v>
      </c>
      <c r="I77" s="84"/>
      <c r="J77" s="84"/>
      <c r="K77" s="85"/>
      <c r="L77" s="85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30.0" customHeight="1">
      <c r="A78" s="27"/>
      <c r="B78" s="83"/>
      <c r="C78" s="84"/>
      <c r="D78" s="84"/>
      <c r="E78" s="85"/>
      <c r="F78" s="85"/>
      <c r="G78" s="34"/>
      <c r="H78" s="83"/>
      <c r="I78" s="84"/>
      <c r="J78" s="84"/>
      <c r="K78" s="85"/>
      <c r="L78" s="85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30.0" customHeight="1">
      <c r="A79" s="27"/>
      <c r="B79" s="68" t="s">
        <v>16</v>
      </c>
      <c r="C79" s="71" t="s">
        <v>17</v>
      </c>
      <c r="D79" s="72">
        <f t="shared" ref="D79:F79" si="5">SUM(D76:D78)</f>
        <v>0</v>
      </c>
      <c r="E79" s="72">
        <f t="shared" si="5"/>
        <v>0</v>
      </c>
      <c r="F79" s="72">
        <f t="shared" si="5"/>
        <v>995</v>
      </c>
      <c r="G79" s="34"/>
      <c r="H79" s="83"/>
      <c r="I79" s="84"/>
      <c r="J79" s="84"/>
      <c r="K79" s="85"/>
      <c r="L79" s="85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30.0" customHeight="1">
      <c r="A80" s="27"/>
      <c r="B80" s="90">
        <v>995.0</v>
      </c>
      <c r="C80" s="71" t="s">
        <v>18</v>
      </c>
      <c r="D80" s="74">
        <f>SUM(D79:F79)</f>
        <v>995</v>
      </c>
      <c r="E80" s="75" t="s">
        <v>19</v>
      </c>
      <c r="F80" s="74">
        <f>B80-D80</f>
        <v>0</v>
      </c>
      <c r="G80" s="34"/>
      <c r="H80" s="83"/>
      <c r="I80" s="84"/>
      <c r="J80" s="84"/>
      <c r="K80" s="85"/>
      <c r="L80" s="85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30.0" customHeight="1">
      <c r="A81" s="27"/>
      <c r="B81" s="77"/>
      <c r="C81" s="78"/>
      <c r="D81" s="78"/>
      <c r="E81" s="78"/>
      <c r="F81" s="78"/>
      <c r="G81" s="34"/>
      <c r="H81" s="83"/>
      <c r="I81" s="84"/>
      <c r="J81" s="84"/>
      <c r="K81" s="85"/>
      <c r="L81" s="85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30.0" customHeight="1">
      <c r="A82" s="3"/>
      <c r="B82" s="31" t="s">
        <v>31</v>
      </c>
      <c r="C82" s="32" t="s">
        <v>8</v>
      </c>
      <c r="D82" s="33" t="s">
        <v>9</v>
      </c>
      <c r="E82" s="33" t="s">
        <v>10</v>
      </c>
      <c r="F82" s="33" t="s">
        <v>11</v>
      </c>
      <c r="G82" s="34"/>
      <c r="H82" s="83"/>
      <c r="I82" s="84"/>
      <c r="J82" s="84"/>
      <c r="K82" s="85"/>
      <c r="L82" s="85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30.0" customHeight="1">
      <c r="A83" s="27"/>
      <c r="B83" s="83"/>
      <c r="C83" s="84"/>
      <c r="D83" s="84"/>
      <c r="E83" s="85"/>
      <c r="F83" s="85"/>
      <c r="G83" s="34"/>
      <c r="H83" s="83"/>
      <c r="I83" s="84"/>
      <c r="J83" s="84"/>
      <c r="K83" s="85"/>
      <c r="L83" s="85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30.0" customHeight="1">
      <c r="A84" s="27"/>
      <c r="B84" s="83"/>
      <c r="C84" s="84"/>
      <c r="D84" s="84"/>
      <c r="E84" s="85"/>
      <c r="F84" s="85"/>
      <c r="G84" s="91"/>
      <c r="H84" s="83"/>
      <c r="I84" s="84"/>
      <c r="J84" s="84"/>
      <c r="K84" s="85"/>
      <c r="L84" s="85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30.0" customHeight="1">
      <c r="A85" s="27"/>
      <c r="B85" s="65"/>
      <c r="C85" s="66"/>
      <c r="D85" s="66"/>
      <c r="E85" s="67"/>
      <c r="F85" s="67"/>
      <c r="G85" s="34"/>
      <c r="H85" s="83"/>
      <c r="I85" s="84"/>
      <c r="J85" s="84"/>
      <c r="K85" s="85"/>
      <c r="L85" s="85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30.0" customHeight="1">
      <c r="A86" s="27"/>
      <c r="B86" s="65"/>
      <c r="C86" s="66"/>
      <c r="D86" s="66"/>
      <c r="E86" s="67"/>
      <c r="F86" s="67"/>
      <c r="G86" s="34"/>
      <c r="H86" s="83"/>
      <c r="I86" s="84"/>
      <c r="J86" s="84"/>
      <c r="K86" s="85"/>
      <c r="L86" s="85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30.0" customHeight="1">
      <c r="A87" s="27"/>
      <c r="B87" s="65"/>
      <c r="C87" s="66"/>
      <c r="D87" s="66"/>
      <c r="E87" s="67"/>
      <c r="F87" s="67"/>
      <c r="G87" s="34"/>
      <c r="H87" s="83"/>
      <c r="I87" s="84"/>
      <c r="J87" s="84"/>
      <c r="K87" s="85"/>
      <c r="L87" s="85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30.0" customHeight="1">
      <c r="A88" s="27"/>
      <c r="B88" s="83"/>
      <c r="C88" s="84"/>
      <c r="D88" s="84"/>
      <c r="E88" s="85"/>
      <c r="F88" s="85"/>
      <c r="G88" s="34"/>
      <c r="H88" s="83"/>
      <c r="I88" s="84"/>
      <c r="J88" s="84"/>
      <c r="K88" s="85"/>
      <c r="L88" s="85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30.0" customHeight="1">
      <c r="A89" s="27"/>
      <c r="B89" s="83"/>
      <c r="C89" s="84"/>
      <c r="D89" s="84"/>
      <c r="E89" s="85"/>
      <c r="F89" s="85"/>
      <c r="G89" s="34"/>
      <c r="H89" s="83"/>
      <c r="I89" s="84"/>
      <c r="J89" s="84"/>
      <c r="K89" s="85"/>
      <c r="L89" s="85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30.0" customHeight="1">
      <c r="A90" s="27"/>
      <c r="B90" s="65"/>
      <c r="C90" s="66"/>
      <c r="D90" s="66"/>
      <c r="E90" s="67"/>
      <c r="F90" s="67"/>
      <c r="G90" s="34"/>
      <c r="H90" s="65"/>
      <c r="I90" s="66"/>
      <c r="J90" s="66"/>
      <c r="K90" s="67"/>
      <c r="L90" s="67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30.0" customHeight="1">
      <c r="A91" s="27"/>
      <c r="B91" s="65"/>
      <c r="C91" s="66"/>
      <c r="D91" s="66"/>
      <c r="E91" s="67"/>
      <c r="F91" s="67"/>
      <c r="G91" s="34"/>
      <c r="H91" s="65"/>
      <c r="I91" s="66"/>
      <c r="J91" s="66"/>
      <c r="K91" s="67"/>
      <c r="L91" s="6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30.0" customHeight="1">
      <c r="A92" s="27"/>
      <c r="B92" s="65"/>
      <c r="C92" s="66"/>
      <c r="D92" s="66"/>
      <c r="E92" s="67"/>
      <c r="F92" s="67"/>
      <c r="G92" s="34"/>
      <c r="H92" s="65"/>
      <c r="I92" s="66"/>
      <c r="J92" s="66"/>
      <c r="K92" s="67"/>
      <c r="L92" s="6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30.0" customHeight="1">
      <c r="A93" s="27"/>
      <c r="B93" s="68" t="s">
        <v>16</v>
      </c>
      <c r="C93" s="71" t="s">
        <v>17</v>
      </c>
      <c r="D93" s="72">
        <f t="shared" ref="D93:F93" si="6">SUM(D83:D92)</f>
        <v>0</v>
      </c>
      <c r="E93" s="72">
        <f t="shared" si="6"/>
        <v>0</v>
      </c>
      <c r="F93" s="72">
        <f t="shared" si="6"/>
        <v>0</v>
      </c>
      <c r="G93" s="34"/>
      <c r="H93" s="92" t="s">
        <v>16</v>
      </c>
      <c r="I93" s="71" t="s">
        <v>17</v>
      </c>
      <c r="J93" s="72">
        <f t="shared" ref="J93:K93" si="7">SUM(J76:J87)</f>
        <v>0</v>
      </c>
      <c r="K93" s="72">
        <f t="shared" si="7"/>
        <v>0</v>
      </c>
      <c r="L93" s="72">
        <f>SUM(L76:L92)</f>
        <v>400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30.0" customHeight="1">
      <c r="A94" s="27"/>
      <c r="B94" s="76">
        <v>500.0</v>
      </c>
      <c r="C94" s="71" t="s">
        <v>18</v>
      </c>
      <c r="D94" s="74">
        <f>SUM(D93:F93)</f>
        <v>0</v>
      </c>
      <c r="E94" s="75" t="s">
        <v>19</v>
      </c>
      <c r="F94" s="74">
        <f>B94-D94</f>
        <v>500</v>
      </c>
      <c r="G94" s="34"/>
      <c r="H94" s="93">
        <v>700.0</v>
      </c>
      <c r="I94" s="71" t="s">
        <v>18</v>
      </c>
      <c r="J94" s="74">
        <f>SUM(J93:L93)</f>
        <v>400</v>
      </c>
      <c r="K94" s="75" t="s">
        <v>19</v>
      </c>
      <c r="L94" s="74">
        <f>H94-J94</f>
        <v>300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30.0" customHeight="1">
      <c r="A95" s="27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30.0" customHeight="1">
      <c r="A96" s="2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30.0" customHeight="1">
      <c r="A97" s="2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30.0" customHeight="1">
      <c r="A98" s="2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30.0" customHeight="1">
      <c r="A99" s="2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30.0" customHeight="1">
      <c r="A100" s="2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30.0" customHeight="1">
      <c r="A101" s="2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30.0" customHeight="1">
      <c r="A102" s="2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30.0" customHeight="1">
      <c r="A103" s="2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30.0" customHeight="1">
      <c r="A104" s="2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30.0" customHeight="1">
      <c r="A105" s="2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30.0" customHeight="1">
      <c r="A106" s="2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30.0" customHeight="1">
      <c r="A107" s="2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30.0" customHeight="1">
      <c r="A108" s="2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30.0" customHeight="1">
      <c r="A109" s="2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30.0" customHeight="1">
      <c r="A110" s="2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30.0" customHeight="1">
      <c r="A111" s="2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30.0" customHeight="1">
      <c r="A112" s="2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30.0" customHeight="1">
      <c r="A113" s="2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30.0" customHeight="1">
      <c r="A114" s="2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30.0" customHeight="1">
      <c r="A115" s="2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30.0" customHeight="1">
      <c r="A116" s="2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30.0" customHeight="1">
      <c r="A117" s="2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30.0" customHeight="1">
      <c r="A118" s="2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30.0" customHeight="1">
      <c r="A119" s="2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30.0" customHeight="1">
      <c r="A120" s="2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30.0" customHeight="1">
      <c r="A121" s="2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30.0" customHeight="1">
      <c r="A122" s="2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30.0" customHeight="1">
      <c r="A123" s="2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30.0" customHeight="1">
      <c r="A124" s="2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30.0" customHeight="1">
      <c r="A125" s="2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30.0" customHeight="1">
      <c r="A126" s="2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30.0" customHeight="1">
      <c r="A127" s="2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30.0" customHeight="1">
      <c r="A128" s="2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30.0" customHeight="1">
      <c r="A129" s="2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30.0" customHeight="1">
      <c r="A130" s="2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30.0" customHeight="1">
      <c r="A131" s="2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30.0" customHeight="1">
      <c r="A132" s="2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30.0" customHeight="1">
      <c r="A133" s="2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30.0" customHeight="1">
      <c r="A134" s="2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30.0" customHeight="1">
      <c r="A135" s="2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30.0" customHeight="1">
      <c r="A136" s="2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30.0" customHeight="1">
      <c r="A137" s="2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30.0" customHeight="1">
      <c r="A138" s="2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30.0" customHeight="1">
      <c r="A139" s="2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30.0" customHeight="1">
      <c r="A140" s="2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30.0" customHeight="1">
      <c r="A141" s="2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30.0" customHeight="1">
      <c r="A142" s="2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30.0" customHeight="1">
      <c r="A143" s="2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30.0" customHeight="1">
      <c r="A144" s="2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30.0" customHeight="1">
      <c r="A145" s="2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30.0" customHeight="1">
      <c r="A146" s="2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30.0" customHeight="1">
      <c r="A147" s="2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30.0" customHeight="1">
      <c r="A148" s="2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30.0" customHeight="1">
      <c r="A149" s="2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30.0" customHeight="1">
      <c r="A150" s="2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30.0" customHeight="1">
      <c r="A151" s="2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30.0" customHeight="1">
      <c r="A152" s="2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30.0" customHeight="1">
      <c r="A153" s="2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30.0" customHeight="1">
      <c r="A154" s="2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30.0" customHeight="1">
      <c r="A155" s="2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30.0" customHeight="1">
      <c r="A156" s="2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30.0" customHeight="1">
      <c r="A157" s="2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30.0" customHeight="1">
      <c r="A158" s="2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30.0" customHeight="1">
      <c r="A159" s="2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30.0" customHeight="1">
      <c r="A160" s="2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30.0" customHeight="1">
      <c r="A161" s="2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30.0" customHeight="1">
      <c r="A162" s="2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30.0" customHeight="1">
      <c r="A163" s="2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30.0" customHeight="1">
      <c r="A164" s="2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30.0" customHeight="1">
      <c r="A165" s="2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30.0" customHeight="1">
      <c r="A166" s="2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30.0" customHeight="1">
      <c r="A167" s="2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30.0" customHeight="1">
      <c r="A168" s="2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30.0" customHeight="1">
      <c r="A169" s="2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30.0" customHeight="1">
      <c r="A170" s="2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30.0" customHeight="1">
      <c r="A171" s="2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30.0" customHeight="1">
      <c r="A172" s="2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30.0" customHeight="1">
      <c r="A173" s="2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30.0" customHeight="1">
      <c r="A174" s="2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30.0" customHeight="1">
      <c r="A175" s="2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30.0" customHeight="1">
      <c r="A176" s="2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30.0" customHeight="1">
      <c r="A177" s="2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30.0" customHeight="1">
      <c r="A178" s="2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30.0" customHeight="1">
      <c r="A179" s="2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30.0" customHeight="1">
      <c r="A180" s="2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30.0" customHeight="1">
      <c r="A181" s="2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30.0" customHeight="1">
      <c r="A182" s="2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30.0" customHeight="1">
      <c r="A183" s="2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30.0" customHeight="1">
      <c r="A184" s="2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30.0" customHeight="1">
      <c r="A185" s="2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30.0" customHeight="1">
      <c r="A186" s="2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30.0" customHeight="1">
      <c r="A187" s="2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30.0" customHeight="1">
      <c r="A188" s="2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30.0" customHeight="1">
      <c r="A189" s="2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30.0" customHeight="1">
      <c r="A190" s="2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30.0" customHeight="1">
      <c r="A191" s="2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30.0" customHeight="1">
      <c r="A192" s="2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30.0" customHeight="1">
      <c r="A193" s="2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30.0" customHeight="1">
      <c r="A194" s="2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30.0" customHeight="1">
      <c r="A195" s="2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30.0" customHeight="1">
      <c r="A196" s="2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30.0" customHeight="1">
      <c r="A197" s="2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30.0" customHeight="1">
      <c r="A198" s="2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30.0" customHeight="1">
      <c r="A199" s="2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30.0" customHeight="1">
      <c r="A200" s="2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30.0" customHeight="1">
      <c r="A201" s="2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30.0" customHeight="1">
      <c r="A202" s="2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30.0" customHeight="1">
      <c r="A203" s="2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30.0" customHeight="1">
      <c r="A204" s="2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30.0" customHeight="1">
      <c r="A205" s="2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30.0" customHeight="1">
      <c r="A206" s="2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30.0" customHeight="1">
      <c r="A207" s="2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30.0" customHeight="1">
      <c r="A208" s="2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30.0" customHeight="1">
      <c r="A209" s="2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30.0" customHeight="1">
      <c r="A210" s="2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30.0" customHeight="1">
      <c r="A211" s="2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30.0" customHeight="1">
      <c r="A212" s="2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30.0" customHeight="1">
      <c r="A213" s="2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30.0" customHeight="1">
      <c r="A214" s="2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30.0" customHeight="1">
      <c r="A215" s="2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30.0" customHeight="1">
      <c r="A216" s="2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30.0" customHeight="1">
      <c r="A217" s="2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30.0" customHeight="1">
      <c r="A218" s="2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30.0" customHeight="1">
      <c r="A219" s="2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30.0" customHeight="1">
      <c r="A220" s="2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30.0" customHeight="1">
      <c r="A221" s="2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30.0" customHeight="1">
      <c r="A222" s="2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30.0" customHeight="1">
      <c r="A223" s="2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30.0" customHeight="1">
      <c r="A224" s="2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30.0" customHeight="1">
      <c r="A225" s="2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30.0" customHeight="1">
      <c r="A226" s="2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30.0" customHeight="1">
      <c r="A227" s="2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30.0" customHeight="1">
      <c r="A228" s="2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30.0" customHeight="1">
      <c r="A229" s="2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30.0" customHeight="1">
      <c r="A230" s="2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30.0" customHeight="1">
      <c r="A231" s="2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30.0" customHeight="1">
      <c r="A232" s="2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30.0" customHeight="1">
      <c r="A233" s="2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30.0" customHeight="1">
      <c r="A234" s="2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30.0" customHeight="1">
      <c r="A235" s="2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30.0" customHeight="1">
      <c r="A236" s="2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30.0" customHeight="1">
      <c r="A237" s="2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30.0" customHeight="1">
      <c r="A238" s="2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30.0" customHeight="1">
      <c r="A239" s="2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30.0" customHeight="1">
      <c r="A240" s="2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30.0" customHeight="1">
      <c r="A241" s="2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30.0" customHeight="1">
      <c r="A242" s="2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30.0" customHeight="1">
      <c r="A243" s="2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30.0" customHeight="1">
      <c r="A244" s="2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30.0" customHeight="1">
      <c r="A245" s="2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30.0" customHeight="1">
      <c r="A246" s="2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30.0" customHeight="1">
      <c r="A247" s="2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30.0" customHeight="1">
      <c r="A248" s="2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30.0" customHeight="1">
      <c r="A249" s="2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30.0" customHeight="1">
      <c r="A250" s="2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30.0" customHeight="1">
      <c r="A251" s="2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30.0" customHeight="1">
      <c r="A252" s="2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30.0" customHeight="1">
      <c r="A253" s="2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30.0" customHeight="1">
      <c r="A254" s="2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30.0" customHeight="1">
      <c r="A255" s="2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30.0" customHeight="1">
      <c r="A256" s="2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30.0" customHeight="1">
      <c r="A257" s="2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30.0" customHeight="1">
      <c r="A258" s="2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30.0" customHeight="1">
      <c r="A259" s="2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30.0" customHeight="1">
      <c r="A260" s="2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30.0" customHeight="1">
      <c r="A261" s="2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30.0" customHeight="1">
      <c r="A262" s="2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30.0" customHeight="1">
      <c r="A263" s="2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30.0" customHeight="1">
      <c r="A264" s="2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30.0" customHeight="1">
      <c r="A265" s="2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30.0" customHeight="1">
      <c r="A266" s="2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30.0" customHeight="1">
      <c r="A267" s="2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30.0" customHeight="1">
      <c r="A268" s="2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30.0" customHeight="1">
      <c r="A269" s="2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30.0" customHeight="1">
      <c r="A270" s="2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30.0" customHeight="1">
      <c r="A271" s="2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30.0" customHeight="1">
      <c r="A272" s="2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30.0" customHeight="1">
      <c r="A273" s="2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30.0" customHeight="1">
      <c r="A274" s="2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30.0" customHeight="1">
      <c r="A275" s="2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30.0" customHeight="1">
      <c r="A276" s="2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30.0" customHeight="1">
      <c r="A277" s="2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30.0" customHeight="1">
      <c r="A278" s="2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30.0" customHeight="1">
      <c r="A279" s="2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30.0" customHeight="1">
      <c r="A280" s="2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30.0" customHeight="1">
      <c r="A281" s="2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30.0" customHeight="1">
      <c r="A282" s="2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30.0" customHeight="1">
      <c r="A283" s="2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30.0" customHeight="1">
      <c r="A284" s="2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30.0" customHeight="1">
      <c r="A285" s="2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30.0" customHeight="1">
      <c r="A286" s="2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30.0" customHeight="1">
      <c r="A287" s="2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30.0" customHeight="1">
      <c r="A288" s="2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30.0" customHeight="1">
      <c r="A289" s="2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30.0" customHeight="1">
      <c r="A290" s="2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30.0" customHeight="1">
      <c r="A291" s="2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30.0" customHeight="1">
      <c r="A292" s="2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30.0" customHeight="1">
      <c r="A293" s="2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30.0" customHeight="1">
      <c r="A294" s="2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30.0" customHeight="1">
      <c r="A295" s="2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30.0" customHeight="1">
      <c r="A296" s="2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30.0" customHeight="1">
      <c r="A297" s="2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30.0" customHeight="1">
      <c r="A298" s="2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30.0" customHeight="1">
      <c r="A299" s="2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30.0" customHeight="1">
      <c r="A300" s="2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30.0" customHeight="1">
      <c r="A301" s="2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30.0" customHeight="1">
      <c r="A302" s="2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30.0" customHeight="1">
      <c r="A303" s="2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30.0" customHeight="1">
      <c r="A304" s="2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30.0" customHeight="1">
      <c r="A305" s="2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30.0" customHeight="1">
      <c r="A306" s="2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30.0" customHeight="1">
      <c r="A307" s="2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30.0" customHeight="1">
      <c r="A308" s="2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30.0" customHeight="1">
      <c r="A309" s="2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30.0" customHeight="1">
      <c r="A310" s="2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30.0" customHeight="1">
      <c r="A311" s="2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30.0" customHeight="1">
      <c r="A312" s="2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30.0" customHeight="1">
      <c r="A313" s="2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30.0" customHeight="1">
      <c r="A314" s="2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30.0" customHeight="1">
      <c r="A315" s="2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30.0" customHeight="1">
      <c r="A316" s="2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30.0" customHeight="1">
      <c r="A317" s="2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30.0" customHeight="1">
      <c r="A318" s="2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30.0" customHeight="1">
      <c r="A319" s="2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30.0" customHeight="1">
      <c r="A320" s="2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30.0" customHeight="1">
      <c r="A321" s="2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30.0" customHeight="1">
      <c r="A322" s="2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30.0" customHeight="1">
      <c r="A323" s="2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30.0" customHeight="1">
      <c r="A324" s="2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30.0" customHeight="1">
      <c r="A325" s="2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30.0" customHeight="1">
      <c r="A326" s="2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30.0" customHeight="1">
      <c r="A327" s="2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30.0" customHeight="1">
      <c r="A328" s="2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30.0" customHeight="1">
      <c r="A329" s="2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30.0" customHeight="1">
      <c r="A330" s="2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30.0" customHeight="1">
      <c r="A331" s="2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30.0" customHeight="1">
      <c r="A332" s="2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30.0" customHeight="1">
      <c r="A333" s="2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30.0" customHeight="1">
      <c r="A334" s="2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30.0" customHeight="1">
      <c r="A335" s="2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30.0" customHeight="1">
      <c r="A336" s="2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30.0" customHeight="1">
      <c r="A337" s="2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30.0" customHeight="1">
      <c r="A338" s="2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30.0" customHeight="1">
      <c r="A339" s="2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30.0" customHeight="1">
      <c r="A340" s="2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30.0" customHeight="1">
      <c r="A341" s="2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30.0" customHeight="1">
      <c r="A342" s="2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30.0" customHeight="1">
      <c r="A343" s="2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30.0" customHeight="1">
      <c r="A344" s="2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30.0" customHeight="1">
      <c r="A345" s="2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30.0" customHeight="1">
      <c r="A346" s="2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30.0" customHeight="1">
      <c r="A347" s="2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30.0" customHeight="1">
      <c r="A348" s="2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30.0" customHeight="1">
      <c r="A349" s="2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30.0" customHeight="1">
      <c r="A350" s="2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30.0" customHeight="1">
      <c r="A351" s="2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30.0" customHeight="1">
      <c r="A352" s="2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30.0" customHeight="1">
      <c r="A353" s="2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30.0" customHeight="1">
      <c r="A354" s="2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30.0" customHeight="1">
      <c r="A355" s="2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30.0" customHeight="1">
      <c r="A356" s="2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30.0" customHeight="1">
      <c r="A357" s="2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30.0" customHeight="1">
      <c r="A358" s="2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30.0" customHeight="1">
      <c r="A359" s="2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30.0" customHeight="1">
      <c r="A360" s="2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30.0" customHeight="1">
      <c r="A361" s="2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30.0" customHeight="1">
      <c r="A362" s="2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30.0" customHeight="1">
      <c r="A363" s="2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30.0" customHeight="1">
      <c r="A364" s="2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30.0" customHeight="1">
      <c r="A365" s="2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30.0" customHeight="1">
      <c r="A366" s="2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30.0" customHeight="1">
      <c r="A367" s="2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30.0" customHeight="1">
      <c r="A368" s="2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30.0" customHeight="1">
      <c r="A369" s="2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30.0" customHeight="1">
      <c r="A370" s="2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30.0" customHeight="1">
      <c r="A371" s="2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30.0" customHeight="1">
      <c r="A372" s="2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30.0" customHeight="1">
      <c r="A373" s="2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30.0" customHeight="1">
      <c r="A374" s="2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30.0" customHeight="1">
      <c r="A375" s="2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30.0" customHeight="1">
      <c r="A376" s="2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30.0" customHeight="1">
      <c r="A377" s="2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30.0" customHeight="1">
      <c r="A378" s="2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30.0" customHeight="1">
      <c r="A379" s="2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30.0" customHeight="1">
      <c r="A380" s="2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30.0" customHeight="1">
      <c r="A381" s="2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30.0" customHeight="1">
      <c r="A382" s="2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30.0" customHeight="1">
      <c r="A383" s="2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30.0" customHeight="1">
      <c r="A384" s="2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30.0" customHeight="1">
      <c r="A385" s="2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30.0" customHeight="1">
      <c r="A386" s="2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30.0" customHeight="1">
      <c r="A387" s="2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30.0" customHeight="1">
      <c r="A388" s="2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30.0" customHeight="1">
      <c r="A389" s="2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30.0" customHeight="1">
      <c r="A390" s="2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30.0" customHeight="1">
      <c r="A391" s="2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30.0" customHeight="1">
      <c r="A392" s="2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30.0" customHeight="1">
      <c r="A393" s="2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30.0" customHeight="1">
      <c r="A394" s="2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30.0" customHeight="1">
      <c r="A395" s="2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30.0" customHeight="1">
      <c r="A396" s="2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30.0" customHeight="1">
      <c r="A397" s="2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30.0" customHeight="1">
      <c r="A398" s="2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30.0" customHeight="1">
      <c r="A399" s="2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30.0" customHeight="1">
      <c r="A400" s="2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30.0" customHeight="1">
      <c r="A401" s="2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30.0" customHeight="1">
      <c r="A402" s="2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30.0" customHeight="1">
      <c r="A403" s="2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30.0" customHeight="1">
      <c r="A404" s="2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30.0" customHeight="1">
      <c r="A405" s="2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30.0" customHeight="1">
      <c r="A406" s="2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30.0" customHeight="1">
      <c r="A407" s="2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30.0" customHeight="1">
      <c r="A408" s="2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30.0" customHeight="1">
      <c r="A409" s="2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30.0" customHeight="1">
      <c r="A410" s="2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30.0" customHeight="1">
      <c r="A411" s="2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30.0" customHeight="1">
      <c r="A412" s="2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30.0" customHeight="1">
      <c r="A413" s="2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30.0" customHeight="1">
      <c r="A414" s="2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30.0" customHeight="1">
      <c r="A415" s="2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30.0" customHeight="1">
      <c r="A416" s="2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30.0" customHeight="1">
      <c r="A417" s="2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30.0" customHeight="1">
      <c r="A418" s="2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30.0" customHeight="1">
      <c r="A419" s="2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30.0" customHeight="1">
      <c r="A420" s="2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30.0" customHeight="1">
      <c r="A421" s="2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30.0" customHeight="1">
      <c r="A422" s="2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30.0" customHeight="1">
      <c r="A423" s="2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30.0" customHeight="1">
      <c r="A424" s="2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30.0" customHeight="1">
      <c r="A425" s="2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30.0" customHeight="1">
      <c r="A426" s="2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30.0" customHeight="1">
      <c r="A427" s="2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30.0" customHeight="1">
      <c r="A428" s="2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30.0" customHeight="1">
      <c r="A429" s="2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30.0" customHeight="1">
      <c r="A430" s="2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30.0" customHeight="1">
      <c r="A431" s="2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30.0" customHeight="1">
      <c r="A432" s="2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30.0" customHeight="1">
      <c r="A433" s="2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30.0" customHeight="1">
      <c r="A434" s="2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30.0" customHeight="1">
      <c r="A435" s="2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30.0" customHeight="1">
      <c r="A436" s="2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30.0" customHeight="1">
      <c r="A437" s="2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30.0" customHeight="1">
      <c r="A438" s="2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30.0" customHeight="1">
      <c r="A439" s="2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30.0" customHeight="1">
      <c r="A440" s="2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30.0" customHeight="1">
      <c r="A441" s="2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30.0" customHeight="1">
      <c r="A442" s="2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30.0" customHeight="1">
      <c r="A443" s="2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30.0" customHeight="1">
      <c r="A444" s="2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30.0" customHeight="1">
      <c r="A445" s="2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30.0" customHeight="1">
      <c r="A446" s="2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30.0" customHeight="1">
      <c r="A447" s="2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30.0" customHeight="1">
      <c r="A448" s="2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30.0" customHeight="1">
      <c r="A449" s="2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30.0" customHeight="1">
      <c r="A450" s="2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30.0" customHeight="1">
      <c r="A451" s="2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30.0" customHeight="1">
      <c r="A452" s="2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30.0" customHeight="1">
      <c r="A453" s="2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30.0" customHeight="1">
      <c r="A454" s="2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30.0" customHeight="1">
      <c r="A455" s="2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30.0" customHeight="1">
      <c r="A456" s="2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30.0" customHeight="1">
      <c r="A457" s="2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30.0" customHeight="1">
      <c r="A458" s="2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30.0" customHeight="1">
      <c r="A459" s="2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30.0" customHeight="1">
      <c r="A460" s="2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30.0" customHeight="1">
      <c r="A461" s="2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30.0" customHeight="1">
      <c r="A462" s="2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30.0" customHeight="1">
      <c r="A463" s="2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30.0" customHeight="1">
      <c r="A464" s="2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30.0" customHeight="1">
      <c r="A465" s="2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30.0" customHeight="1">
      <c r="A466" s="2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30.0" customHeight="1">
      <c r="A467" s="2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30.0" customHeight="1">
      <c r="A468" s="2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30.0" customHeight="1">
      <c r="A469" s="2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30.0" customHeight="1">
      <c r="A470" s="2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30.0" customHeight="1">
      <c r="A471" s="2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30.0" customHeight="1">
      <c r="A472" s="2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30.0" customHeight="1">
      <c r="A473" s="2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30.0" customHeight="1">
      <c r="A474" s="2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30.0" customHeight="1">
      <c r="A475" s="2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30.0" customHeight="1">
      <c r="A476" s="2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30.0" customHeight="1">
      <c r="A477" s="2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30.0" customHeight="1">
      <c r="A478" s="2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30.0" customHeight="1">
      <c r="A479" s="2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30.0" customHeight="1">
      <c r="A480" s="2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30.0" customHeight="1">
      <c r="A481" s="2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30.0" customHeight="1">
      <c r="A482" s="2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30.0" customHeight="1">
      <c r="A483" s="2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30.0" customHeight="1">
      <c r="A484" s="2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30.0" customHeight="1">
      <c r="A485" s="2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30.0" customHeight="1">
      <c r="A486" s="2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30.0" customHeight="1">
      <c r="A487" s="2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30.0" customHeight="1">
      <c r="A488" s="2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30.0" customHeight="1">
      <c r="A489" s="2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30.0" customHeight="1">
      <c r="A490" s="2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30.0" customHeight="1">
      <c r="A491" s="2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30.0" customHeight="1">
      <c r="A492" s="2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30.0" customHeight="1">
      <c r="A493" s="2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30.0" customHeight="1">
      <c r="A494" s="2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30.0" customHeight="1">
      <c r="A495" s="2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30.0" customHeight="1">
      <c r="A496" s="2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30.0" customHeight="1">
      <c r="A497" s="2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30.0" customHeight="1">
      <c r="A498" s="2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30.0" customHeight="1">
      <c r="A499" s="2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30.0" customHeight="1">
      <c r="A500" s="2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30.0" customHeight="1">
      <c r="A501" s="2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30.0" customHeight="1">
      <c r="A502" s="2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30.0" customHeight="1">
      <c r="A503" s="2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30.0" customHeight="1">
      <c r="A504" s="2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30.0" customHeight="1">
      <c r="A505" s="2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30.0" customHeight="1">
      <c r="A506" s="2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30.0" customHeight="1">
      <c r="A507" s="2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30.0" customHeight="1">
      <c r="A508" s="2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30.0" customHeight="1">
      <c r="A509" s="2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30.0" customHeight="1">
      <c r="A510" s="2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30.0" customHeight="1">
      <c r="A511" s="2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30.0" customHeight="1">
      <c r="A512" s="2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30.0" customHeight="1">
      <c r="A513" s="2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30.0" customHeight="1">
      <c r="A514" s="2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30.0" customHeight="1">
      <c r="A515" s="2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30.0" customHeight="1">
      <c r="A516" s="2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30.0" customHeight="1">
      <c r="A517" s="2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30.0" customHeight="1">
      <c r="A518" s="2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30.0" customHeight="1">
      <c r="A519" s="2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30.0" customHeight="1">
      <c r="A520" s="2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30.0" customHeight="1">
      <c r="A521" s="2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30.0" customHeight="1">
      <c r="A522" s="2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30.0" customHeight="1">
      <c r="A523" s="2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30.0" customHeight="1">
      <c r="A524" s="2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30.0" customHeight="1">
      <c r="A525" s="2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30.0" customHeight="1">
      <c r="A526" s="2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30.0" customHeight="1">
      <c r="A527" s="2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30.0" customHeight="1">
      <c r="A528" s="2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30.0" customHeight="1">
      <c r="A529" s="2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30.0" customHeight="1">
      <c r="A530" s="2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30.0" customHeight="1">
      <c r="A531" s="2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30.0" customHeight="1">
      <c r="A532" s="2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30.0" customHeight="1">
      <c r="A533" s="2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30.0" customHeight="1">
      <c r="A534" s="2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30.0" customHeight="1">
      <c r="A535" s="2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30.0" customHeight="1">
      <c r="A536" s="2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30.0" customHeight="1">
      <c r="A537" s="2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30.0" customHeight="1">
      <c r="A538" s="2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30.0" customHeight="1">
      <c r="A539" s="2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30.0" customHeight="1">
      <c r="A540" s="2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30.0" customHeight="1">
      <c r="A541" s="2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30.0" customHeight="1">
      <c r="A542" s="2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30.0" customHeight="1">
      <c r="A543" s="2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30.0" customHeight="1">
      <c r="A544" s="2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30.0" customHeight="1">
      <c r="A545" s="2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30.0" customHeight="1">
      <c r="A546" s="2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30.0" customHeight="1">
      <c r="A547" s="2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30.0" customHeight="1">
      <c r="A548" s="2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30.0" customHeight="1">
      <c r="A549" s="2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30.0" customHeight="1">
      <c r="A550" s="2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30.0" customHeight="1">
      <c r="A551" s="2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30.0" customHeight="1">
      <c r="A552" s="2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30.0" customHeight="1">
      <c r="A553" s="2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30.0" customHeight="1">
      <c r="A554" s="2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30.0" customHeight="1">
      <c r="A555" s="2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30.0" customHeight="1">
      <c r="A556" s="2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30.0" customHeight="1">
      <c r="A557" s="2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30.0" customHeight="1">
      <c r="A558" s="2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30.0" customHeight="1">
      <c r="A559" s="2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30.0" customHeight="1">
      <c r="A560" s="2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30.0" customHeight="1">
      <c r="A561" s="2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30.0" customHeight="1">
      <c r="A562" s="2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30.0" customHeight="1">
      <c r="A563" s="2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30.0" customHeight="1">
      <c r="A564" s="2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30.0" customHeight="1">
      <c r="A565" s="2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30.0" customHeight="1">
      <c r="A566" s="2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30.0" customHeight="1">
      <c r="A567" s="2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30.0" customHeight="1">
      <c r="A568" s="2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30.0" customHeight="1">
      <c r="A569" s="2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30.0" customHeight="1">
      <c r="A570" s="2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30.0" customHeight="1">
      <c r="A571" s="2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30.0" customHeight="1">
      <c r="A572" s="2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30.0" customHeight="1">
      <c r="A573" s="2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30.0" customHeight="1">
      <c r="A574" s="2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30.0" customHeight="1">
      <c r="A575" s="2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30.0" customHeight="1">
      <c r="A576" s="2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30.0" customHeight="1">
      <c r="A577" s="2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30.0" customHeight="1">
      <c r="A578" s="2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30.0" customHeight="1">
      <c r="A579" s="2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30.0" customHeight="1">
      <c r="A580" s="2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30.0" customHeight="1">
      <c r="A581" s="2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30.0" customHeight="1">
      <c r="A582" s="2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30.0" customHeight="1">
      <c r="A583" s="2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30.0" customHeight="1">
      <c r="A584" s="2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30.0" customHeight="1">
      <c r="A585" s="2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30.0" customHeight="1">
      <c r="A586" s="2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30.0" customHeight="1">
      <c r="A587" s="2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30.0" customHeight="1">
      <c r="A588" s="2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30.0" customHeight="1">
      <c r="A589" s="2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30.0" customHeight="1">
      <c r="A590" s="2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30.0" customHeight="1">
      <c r="A591" s="2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30.0" customHeight="1">
      <c r="A592" s="2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30.0" customHeight="1">
      <c r="A593" s="2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30.0" customHeight="1">
      <c r="A594" s="2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30.0" customHeight="1">
      <c r="A595" s="2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30.0" customHeight="1">
      <c r="A596" s="2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30.0" customHeight="1">
      <c r="A597" s="2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30.0" customHeight="1">
      <c r="A598" s="2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30.0" customHeight="1">
      <c r="A599" s="2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30.0" customHeight="1">
      <c r="A600" s="2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30.0" customHeight="1">
      <c r="A601" s="2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30.0" customHeight="1">
      <c r="A602" s="2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30.0" customHeight="1">
      <c r="A603" s="2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30.0" customHeight="1">
      <c r="A604" s="2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30.0" customHeight="1">
      <c r="A605" s="2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30.0" customHeight="1">
      <c r="A606" s="2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30.0" customHeight="1">
      <c r="A607" s="2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30.0" customHeight="1">
      <c r="A608" s="2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30.0" customHeight="1">
      <c r="A609" s="2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30.0" customHeight="1">
      <c r="A610" s="2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30.0" customHeight="1">
      <c r="A611" s="2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30.0" customHeight="1">
      <c r="A612" s="2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30.0" customHeight="1">
      <c r="A613" s="2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30.0" customHeight="1">
      <c r="A614" s="2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30.0" customHeight="1">
      <c r="A615" s="2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30.0" customHeight="1">
      <c r="A616" s="2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30.0" customHeight="1">
      <c r="A617" s="2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30.0" customHeight="1">
      <c r="A618" s="2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30.0" customHeight="1">
      <c r="A619" s="2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30.0" customHeight="1">
      <c r="A620" s="2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30.0" customHeight="1">
      <c r="A621" s="2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30.0" customHeight="1">
      <c r="A622" s="2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30.0" customHeight="1">
      <c r="A623" s="2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30.0" customHeight="1">
      <c r="A624" s="2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30.0" customHeight="1">
      <c r="A625" s="2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30.0" customHeight="1">
      <c r="A626" s="2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30.0" customHeight="1">
      <c r="A627" s="2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30.0" customHeight="1">
      <c r="A628" s="2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30.0" customHeight="1">
      <c r="A629" s="2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30.0" customHeight="1">
      <c r="A630" s="2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30.0" customHeight="1">
      <c r="A631" s="2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30.0" customHeight="1">
      <c r="A632" s="2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30.0" customHeight="1">
      <c r="A633" s="2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30.0" customHeight="1">
      <c r="A634" s="2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30.0" customHeight="1">
      <c r="A635" s="2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30.0" customHeight="1">
      <c r="A636" s="2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30.0" customHeight="1">
      <c r="A637" s="2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30.0" customHeight="1">
      <c r="A638" s="2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30.0" customHeight="1">
      <c r="A639" s="2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30.0" customHeight="1">
      <c r="A640" s="2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30.0" customHeight="1">
      <c r="A641" s="2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30.0" customHeight="1">
      <c r="A642" s="2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30.0" customHeight="1">
      <c r="A643" s="2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30.0" customHeight="1">
      <c r="A644" s="2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30.0" customHeight="1">
      <c r="A645" s="2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30.0" customHeight="1">
      <c r="A646" s="2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30.0" customHeight="1">
      <c r="A647" s="2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30.0" customHeight="1">
      <c r="A648" s="2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30.0" customHeight="1">
      <c r="A649" s="2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30.0" customHeight="1">
      <c r="A650" s="2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30.0" customHeight="1">
      <c r="A651" s="2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30.0" customHeight="1">
      <c r="A652" s="2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30.0" customHeight="1">
      <c r="A653" s="2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30.0" customHeight="1">
      <c r="A654" s="2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30.0" customHeight="1">
      <c r="A655" s="2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30.0" customHeight="1">
      <c r="A656" s="2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30.0" customHeight="1">
      <c r="A657" s="2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30.0" customHeight="1">
      <c r="A658" s="2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30.0" customHeight="1">
      <c r="A659" s="2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30.0" customHeight="1">
      <c r="A660" s="2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30.0" customHeight="1">
      <c r="A661" s="2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30.0" customHeight="1">
      <c r="A662" s="2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30.0" customHeight="1">
      <c r="A663" s="2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30.0" customHeight="1">
      <c r="A664" s="2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30.0" customHeight="1">
      <c r="A665" s="2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30.0" customHeight="1">
      <c r="A666" s="2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30.0" customHeight="1">
      <c r="A667" s="2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30.0" customHeight="1">
      <c r="A668" s="2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30.0" customHeight="1">
      <c r="A669" s="2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30.0" customHeight="1">
      <c r="A670" s="2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30.0" customHeight="1">
      <c r="A671" s="2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30.0" customHeight="1">
      <c r="A672" s="2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30.0" customHeight="1">
      <c r="A673" s="2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30.0" customHeight="1">
      <c r="A674" s="2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30.0" customHeight="1">
      <c r="A675" s="2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30.0" customHeight="1">
      <c r="A676" s="2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30.0" customHeight="1">
      <c r="A677" s="2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30.0" customHeight="1">
      <c r="A678" s="2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30.0" customHeight="1">
      <c r="A679" s="2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30.0" customHeight="1">
      <c r="A680" s="2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30.0" customHeight="1">
      <c r="A681" s="2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30.0" customHeight="1">
      <c r="A682" s="2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30.0" customHeight="1">
      <c r="A683" s="2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30.0" customHeight="1">
      <c r="A684" s="2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30.0" customHeight="1">
      <c r="A685" s="2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30.0" customHeight="1">
      <c r="A686" s="2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30.0" customHeight="1">
      <c r="A687" s="2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30.0" customHeight="1">
      <c r="A688" s="2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30.0" customHeight="1">
      <c r="A689" s="2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30.0" customHeight="1">
      <c r="A690" s="2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30.0" customHeight="1">
      <c r="A691" s="2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30.0" customHeight="1">
      <c r="A692" s="2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30.0" customHeight="1">
      <c r="A693" s="2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30.0" customHeight="1">
      <c r="A694" s="2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30.0" customHeight="1">
      <c r="A695" s="2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30.0" customHeight="1">
      <c r="A696" s="2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30.0" customHeight="1">
      <c r="A697" s="2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30.0" customHeight="1">
      <c r="A698" s="2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30.0" customHeight="1">
      <c r="A699" s="2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30.0" customHeight="1">
      <c r="A700" s="2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30.0" customHeight="1">
      <c r="A701" s="2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30.0" customHeight="1">
      <c r="A702" s="2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30.0" customHeight="1">
      <c r="A703" s="2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30.0" customHeight="1">
      <c r="A704" s="2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30.0" customHeight="1">
      <c r="A705" s="2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30.0" customHeight="1">
      <c r="A706" s="2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30.0" customHeight="1">
      <c r="A707" s="2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30.0" customHeight="1">
      <c r="A708" s="2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30.0" customHeight="1">
      <c r="A709" s="2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30.0" customHeight="1">
      <c r="A710" s="2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30.0" customHeight="1">
      <c r="A711" s="2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30.0" customHeight="1">
      <c r="A712" s="2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30.0" customHeight="1">
      <c r="A713" s="2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30.0" customHeight="1">
      <c r="A714" s="2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30.0" customHeight="1">
      <c r="A715" s="2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30.0" customHeight="1">
      <c r="A716" s="2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30.0" customHeight="1">
      <c r="A717" s="2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30.0" customHeight="1">
      <c r="A718" s="2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30.0" customHeight="1">
      <c r="A719" s="2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30.0" customHeight="1">
      <c r="A720" s="2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30.0" customHeight="1">
      <c r="A721" s="2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30.0" customHeight="1">
      <c r="A722" s="2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30.0" customHeight="1">
      <c r="A723" s="2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30.0" customHeight="1">
      <c r="A724" s="2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30.0" customHeight="1">
      <c r="A725" s="2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30.0" customHeight="1">
      <c r="A726" s="2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30.0" customHeight="1">
      <c r="A727" s="2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30.0" customHeight="1">
      <c r="A728" s="2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30.0" customHeight="1">
      <c r="A729" s="2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30.0" customHeight="1">
      <c r="A730" s="2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30.0" customHeight="1">
      <c r="A731" s="2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30.0" customHeight="1">
      <c r="A732" s="2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30.0" customHeight="1">
      <c r="A733" s="2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30.0" customHeight="1">
      <c r="A734" s="2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30.0" customHeight="1">
      <c r="A735" s="2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30.0" customHeight="1">
      <c r="A736" s="2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30.0" customHeight="1">
      <c r="A737" s="2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30.0" customHeight="1">
      <c r="A738" s="2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30.0" customHeight="1">
      <c r="A739" s="2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30.0" customHeight="1">
      <c r="A740" s="2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30.0" customHeight="1">
      <c r="A741" s="2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30.0" customHeight="1">
      <c r="A742" s="2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30.0" customHeight="1">
      <c r="A743" s="2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30.0" customHeight="1">
      <c r="A744" s="2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30.0" customHeight="1">
      <c r="A745" s="2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30.0" customHeight="1">
      <c r="A746" s="2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30.0" customHeight="1">
      <c r="A747" s="2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30.0" customHeight="1">
      <c r="A748" s="2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30.0" customHeight="1">
      <c r="A749" s="2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30.0" customHeight="1">
      <c r="A750" s="2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30.0" customHeight="1">
      <c r="A751" s="2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30.0" customHeight="1">
      <c r="A752" s="2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30.0" customHeight="1">
      <c r="A753" s="2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30.0" customHeight="1">
      <c r="A754" s="2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30.0" customHeight="1">
      <c r="A755" s="2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30.0" customHeight="1">
      <c r="A756" s="2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30.0" customHeight="1">
      <c r="A757" s="2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30.0" customHeight="1">
      <c r="A758" s="2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30.0" customHeight="1">
      <c r="A759" s="2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30.0" customHeight="1">
      <c r="A760" s="2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30.0" customHeight="1">
      <c r="A761" s="2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30.0" customHeight="1">
      <c r="A762" s="2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30.0" customHeight="1">
      <c r="A763" s="2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30.0" customHeight="1">
      <c r="A764" s="2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30.0" customHeight="1">
      <c r="A765" s="2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30.0" customHeight="1">
      <c r="A766" s="2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30.0" customHeight="1">
      <c r="A767" s="2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30.0" customHeight="1">
      <c r="A768" s="2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30.0" customHeight="1">
      <c r="A769" s="2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30.0" customHeight="1">
      <c r="A770" s="2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30.0" customHeight="1">
      <c r="A771" s="2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30.0" customHeight="1">
      <c r="A772" s="2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30.0" customHeight="1">
      <c r="A773" s="2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30.0" customHeight="1">
      <c r="A774" s="2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30.0" customHeight="1">
      <c r="A775" s="2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30.0" customHeight="1">
      <c r="A776" s="2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30.0" customHeight="1">
      <c r="A777" s="2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30.0" customHeight="1">
      <c r="A778" s="2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30.0" customHeight="1">
      <c r="A779" s="2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30.0" customHeight="1">
      <c r="A780" s="2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30.0" customHeight="1">
      <c r="A781" s="2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30.0" customHeight="1">
      <c r="A782" s="2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30.0" customHeight="1">
      <c r="A783" s="2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30.0" customHeight="1">
      <c r="A784" s="2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30.0" customHeight="1">
      <c r="A785" s="2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30.0" customHeight="1">
      <c r="A786" s="2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30.0" customHeight="1">
      <c r="A787" s="2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30.0" customHeight="1">
      <c r="A788" s="2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30.0" customHeight="1">
      <c r="A789" s="2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30.0" customHeight="1">
      <c r="A790" s="2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30.0" customHeight="1">
      <c r="A791" s="2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30.0" customHeight="1">
      <c r="A792" s="2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30.0" customHeight="1">
      <c r="A793" s="2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30.0" customHeight="1">
      <c r="A794" s="2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30.0" customHeight="1">
      <c r="A795" s="2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30.0" customHeight="1">
      <c r="A796" s="2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30.0" customHeight="1">
      <c r="A797" s="2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30.0" customHeight="1">
      <c r="A798" s="2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30.0" customHeight="1">
      <c r="A799" s="2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30.0" customHeight="1">
      <c r="A800" s="2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30.0" customHeight="1">
      <c r="A801" s="2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30.0" customHeight="1">
      <c r="A802" s="2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30.0" customHeight="1">
      <c r="A803" s="2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30.0" customHeight="1">
      <c r="A804" s="2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30.0" customHeight="1">
      <c r="A805" s="2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30.0" customHeight="1">
      <c r="A806" s="2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30.0" customHeight="1">
      <c r="A807" s="2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30.0" customHeight="1">
      <c r="A808" s="2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30.0" customHeight="1">
      <c r="A809" s="2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30.0" customHeight="1">
      <c r="A810" s="2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30.0" customHeight="1">
      <c r="A811" s="2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30.0" customHeight="1">
      <c r="A812" s="2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30.0" customHeight="1">
      <c r="A813" s="2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30.0" customHeight="1">
      <c r="A814" s="2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30.0" customHeight="1">
      <c r="A815" s="2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30.0" customHeight="1">
      <c r="A816" s="2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30.0" customHeight="1">
      <c r="A817" s="2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30.0" customHeight="1">
      <c r="A818" s="2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30.0" customHeight="1">
      <c r="A819" s="2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30.0" customHeight="1">
      <c r="A820" s="2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30.0" customHeight="1">
      <c r="A821" s="2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30.0" customHeight="1">
      <c r="A822" s="2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30.0" customHeight="1">
      <c r="A823" s="2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30.0" customHeight="1">
      <c r="A824" s="2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30.0" customHeight="1">
      <c r="A825" s="2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30.0" customHeight="1">
      <c r="A826" s="2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30.0" customHeight="1">
      <c r="A827" s="2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30.0" customHeight="1">
      <c r="A828" s="2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30.0" customHeight="1">
      <c r="A829" s="2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30.0" customHeight="1">
      <c r="A830" s="2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30.0" customHeight="1">
      <c r="A831" s="2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30.0" customHeight="1">
      <c r="A832" s="2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30.0" customHeight="1">
      <c r="A833" s="2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30.0" customHeight="1">
      <c r="A834" s="2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30.0" customHeight="1">
      <c r="A835" s="2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30.0" customHeight="1">
      <c r="A836" s="2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30.0" customHeight="1">
      <c r="A837" s="2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30.0" customHeight="1">
      <c r="A838" s="2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30.0" customHeight="1">
      <c r="A839" s="2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30.0" customHeight="1">
      <c r="A840" s="2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30.0" customHeight="1">
      <c r="A841" s="2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30.0" customHeight="1">
      <c r="A842" s="2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30.0" customHeight="1">
      <c r="A843" s="2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30.0" customHeight="1">
      <c r="A844" s="2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30.0" customHeight="1">
      <c r="A845" s="2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30.0" customHeight="1">
      <c r="A846" s="2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30.0" customHeight="1">
      <c r="A847" s="2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30.0" customHeight="1">
      <c r="A848" s="2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30.0" customHeight="1">
      <c r="A849" s="2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30.0" customHeight="1">
      <c r="A850" s="2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30.0" customHeight="1">
      <c r="A851" s="2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30.0" customHeight="1">
      <c r="A852" s="2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30.0" customHeight="1">
      <c r="A853" s="2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30.0" customHeight="1">
      <c r="A854" s="2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30.0" customHeight="1">
      <c r="A855" s="2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30.0" customHeight="1">
      <c r="A856" s="2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30.0" customHeight="1">
      <c r="A857" s="2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30.0" customHeight="1">
      <c r="A858" s="2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30.0" customHeight="1">
      <c r="A859" s="2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30.0" customHeight="1">
      <c r="A860" s="2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30.0" customHeight="1">
      <c r="A861" s="2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30.0" customHeight="1">
      <c r="A862" s="2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30.0" customHeight="1">
      <c r="A863" s="2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30.0" customHeight="1">
      <c r="A864" s="2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30.0" customHeight="1">
      <c r="A865" s="2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30.0" customHeight="1">
      <c r="A866" s="2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30.0" customHeight="1">
      <c r="A867" s="2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30.0" customHeight="1">
      <c r="A868" s="2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30.0" customHeight="1">
      <c r="A869" s="2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30.0" customHeight="1">
      <c r="A870" s="2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30.0" customHeight="1">
      <c r="A871" s="2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30.0" customHeight="1">
      <c r="A872" s="2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30.0" customHeight="1">
      <c r="A873" s="2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30.0" customHeight="1">
      <c r="A874" s="2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30.0" customHeight="1">
      <c r="A875" s="2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30.0" customHeight="1">
      <c r="A876" s="2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30.0" customHeight="1">
      <c r="A877" s="2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30.0" customHeight="1">
      <c r="A878" s="2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30.0" customHeight="1">
      <c r="A879" s="2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30.0" customHeight="1">
      <c r="A880" s="2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30.0" customHeight="1">
      <c r="A881" s="2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30.0" customHeight="1">
      <c r="A882" s="2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30.0" customHeight="1">
      <c r="A883" s="2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30.0" customHeight="1">
      <c r="A884" s="2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30.0" customHeight="1">
      <c r="A885" s="2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30.0" customHeight="1">
      <c r="A886" s="2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30.0" customHeight="1">
      <c r="A887" s="2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30.0" customHeight="1">
      <c r="A888" s="2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30.0" customHeight="1">
      <c r="A889" s="2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30.0" customHeight="1">
      <c r="A890" s="2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30.0" customHeight="1">
      <c r="A891" s="2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30.0" customHeight="1">
      <c r="A892" s="2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30.0" customHeight="1">
      <c r="A893" s="2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30.0" customHeight="1">
      <c r="A894" s="2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30.0" customHeight="1">
      <c r="A895" s="2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30.0" customHeight="1">
      <c r="A896" s="2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30.0" customHeight="1">
      <c r="A897" s="2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30.0" customHeight="1">
      <c r="A898" s="2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30.0" customHeight="1">
      <c r="A899" s="2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30.0" customHeight="1">
      <c r="A900" s="2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30.0" customHeight="1">
      <c r="A901" s="2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30.0" customHeight="1">
      <c r="A902" s="2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30.0" customHeight="1">
      <c r="A903" s="2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30.0" customHeight="1">
      <c r="A904" s="2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30.0" customHeight="1">
      <c r="A905" s="2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30.0" customHeight="1">
      <c r="A906" s="2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30.0" customHeight="1">
      <c r="A907" s="2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30.0" customHeight="1">
      <c r="A908" s="2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30.0" customHeight="1">
      <c r="A909" s="2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30.0" customHeight="1">
      <c r="A910" s="2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30.0" customHeight="1">
      <c r="A911" s="2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30.0" customHeight="1">
      <c r="A912" s="2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30.0" customHeight="1">
      <c r="A913" s="2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30.0" customHeight="1">
      <c r="A914" s="2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30.0" customHeight="1">
      <c r="A915" s="2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30.0" customHeight="1">
      <c r="A916" s="2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30.0" customHeight="1">
      <c r="A917" s="2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30.0" customHeight="1">
      <c r="A918" s="2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30.0" customHeight="1">
      <c r="A919" s="2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30.0" customHeight="1">
      <c r="A920" s="2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30.0" customHeight="1">
      <c r="A921" s="2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30.0" customHeight="1">
      <c r="A922" s="2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30.0" customHeight="1">
      <c r="A923" s="2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30.0" customHeight="1">
      <c r="A924" s="2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30.0" customHeight="1">
      <c r="A925" s="2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30.0" customHeight="1">
      <c r="A926" s="2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30.0" customHeight="1">
      <c r="A927" s="2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30.0" customHeight="1">
      <c r="A928" s="2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30.0" customHeight="1">
      <c r="A929" s="2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30.0" customHeight="1">
      <c r="A930" s="2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30.0" customHeight="1">
      <c r="A931" s="2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30.0" customHeight="1">
      <c r="A932" s="2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30.0" customHeight="1">
      <c r="A933" s="2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30.0" customHeight="1">
      <c r="A934" s="2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30.0" customHeight="1">
      <c r="A935" s="2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30.0" customHeight="1">
      <c r="A936" s="2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30.0" customHeight="1">
      <c r="A937" s="2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30.0" customHeight="1">
      <c r="A938" s="2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30.0" customHeight="1">
      <c r="A939" s="2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30.0" customHeight="1">
      <c r="A940" s="2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30.0" customHeight="1">
      <c r="A941" s="2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30.0" customHeight="1">
      <c r="A942" s="2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30.0" customHeight="1">
      <c r="A943" s="2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30.0" customHeight="1">
      <c r="A944" s="2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30.0" customHeight="1">
      <c r="A945" s="2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30.0" customHeight="1">
      <c r="A946" s="2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30.0" customHeight="1">
      <c r="A947" s="2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30.0" customHeight="1">
      <c r="A948" s="2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30.0" customHeight="1">
      <c r="A949" s="2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30.0" customHeight="1">
      <c r="A950" s="2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30.0" customHeight="1">
      <c r="A951" s="2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30.0" customHeight="1">
      <c r="A952" s="2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30.0" customHeight="1">
      <c r="A953" s="2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30.0" customHeight="1">
      <c r="A954" s="2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30.0" customHeight="1">
      <c r="A955" s="2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30.0" customHeight="1">
      <c r="A956" s="2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30.0" customHeight="1">
      <c r="A957" s="2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30.0" customHeight="1">
      <c r="A958" s="2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30.0" customHeight="1">
      <c r="A959" s="2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30.0" customHeight="1">
      <c r="A960" s="2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30.0" customHeight="1">
      <c r="A961" s="2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30.0" customHeight="1">
      <c r="A962" s="2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30.0" customHeight="1">
      <c r="A963" s="2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30.0" customHeight="1">
      <c r="A964" s="2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30.0" customHeight="1">
      <c r="A965" s="2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30.0" customHeight="1">
      <c r="A966" s="2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30.0" customHeight="1">
      <c r="A967" s="2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30.0" customHeight="1">
      <c r="A968" s="2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30.0" customHeight="1">
      <c r="A969" s="2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30.0" customHeight="1">
      <c r="A970" s="2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30.0" customHeight="1">
      <c r="A971" s="2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30.0" customHeight="1">
      <c r="A972" s="2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30.0" customHeight="1">
      <c r="A973" s="2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30.0" customHeight="1">
      <c r="A974" s="2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30.0" customHeight="1">
      <c r="A975" s="2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30.0" customHeight="1">
      <c r="A976" s="2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30.0" customHeight="1">
      <c r="A977" s="2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30.0" customHeight="1">
      <c r="A978" s="2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30.0" customHeight="1">
      <c r="A979" s="2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30.0" customHeight="1">
      <c r="A980" s="2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30.0" customHeight="1">
      <c r="A981" s="2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30.0" customHeight="1">
      <c r="A982" s="2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30.0" customHeight="1">
      <c r="A983" s="2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30.0" customHeight="1">
      <c r="A984" s="2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30.0" customHeight="1">
      <c r="A985" s="2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30.0" customHeight="1">
      <c r="A986" s="2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30.0" customHeight="1">
      <c r="A987" s="2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30.0" customHeight="1">
      <c r="A988" s="2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30.0" customHeight="1">
      <c r="A989" s="2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30.0" customHeight="1">
      <c r="A990" s="2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30.0" customHeight="1">
      <c r="A991" s="2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30.0" customHeight="1">
      <c r="A992" s="2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30.0" customHeight="1">
      <c r="A993" s="2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30.0" customHeight="1">
      <c r="A994" s="2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30.0" customHeight="1">
      <c r="A995" s="2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30.0" customHeight="1">
      <c r="A996" s="2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30.0" customHeight="1">
      <c r="A997" s="2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30.0" customHeight="1">
      <c r="A998" s="2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30.0" customHeight="1">
      <c r="A999" s="2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30.0" customHeight="1">
      <c r="A1000" s="2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ht="30.0" customHeight="1">
      <c r="A1001" s="2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ht="30.0" customHeight="1">
      <c r="A1002" s="2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ht="30.0" customHeight="1">
      <c r="A1003" s="2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ht="30.0" customHeight="1">
      <c r="A1004" s="2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ht="30.0" customHeight="1">
      <c r="A1005" s="2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ht="30.0" customHeight="1">
      <c r="A1006" s="2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ht="30.0" customHeight="1">
      <c r="A1007" s="2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ht="30.0" customHeight="1">
      <c r="A1008" s="2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ht="30.0" customHeight="1">
      <c r="A1009" s="2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ht="30.0" customHeight="1">
      <c r="A1010" s="2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ht="30.0" customHeight="1">
      <c r="A1011" s="2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ht="30.0" customHeight="1">
      <c r="A1012" s="2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ht="30.0" customHeight="1">
      <c r="A1013" s="2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ht="30.0" customHeight="1">
      <c r="A1014" s="2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ht="30.0" customHeight="1">
      <c r="A1015" s="2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ht="30.0" customHeight="1">
      <c r="A1016" s="2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 ht="30.0" customHeight="1">
      <c r="A1017" s="2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 ht="30.0" customHeight="1">
      <c r="A1018" s="2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 ht="30.0" customHeight="1">
      <c r="A1019" s="2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 ht="30.0" customHeight="1">
      <c r="A1020" s="2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 ht="30.0" customHeight="1">
      <c r="A1021" s="2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 ht="30.0" customHeight="1">
      <c r="A1022" s="2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ht="30.0" customHeight="1">
      <c r="A1023" s="2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 ht="30.0" customHeight="1">
      <c r="A1024" s="2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 ht="30.0" customHeight="1">
      <c r="A1025" s="2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 ht="30.0" customHeight="1">
      <c r="A1026" s="2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 ht="30.0" customHeight="1">
      <c r="A1027" s="2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 ht="30.0" customHeight="1">
      <c r="A1028" s="2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 ht="30.0" customHeight="1">
      <c r="A1029" s="2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 ht="30.0" customHeight="1">
      <c r="A1030" s="2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 ht="30.0" customHeight="1">
      <c r="A1031" s="2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 ht="30.0" customHeight="1">
      <c r="A1032" s="2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 ht="30.0" customHeight="1">
      <c r="A1033" s="2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 ht="30.0" customHeight="1">
      <c r="A1034" s="2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 ht="30.0" customHeight="1">
      <c r="A1035" s="2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 ht="30.0" customHeight="1">
      <c r="A1036" s="2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 ht="30.0" customHeight="1">
      <c r="A1037" s="2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 ht="30.0" customHeight="1">
      <c r="A1038" s="2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 ht="30.0" customHeight="1">
      <c r="A1039" s="2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 ht="30.0" customHeight="1">
      <c r="A1040" s="2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 ht="30.0" customHeight="1">
      <c r="A1041" s="2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 ht="30.0" customHeight="1">
      <c r="A1042" s="2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 ht="30.0" customHeight="1">
      <c r="A1043" s="2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 ht="30.0" customHeight="1">
      <c r="A1044" s="2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 ht="30.0" customHeight="1">
      <c r="A1045" s="2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 ht="30.0" customHeight="1">
      <c r="A1046" s="2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 ht="30.0" customHeight="1">
      <c r="A1047" s="2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 ht="30.0" customHeight="1">
      <c r="A1048" s="2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 ht="30.0" customHeight="1">
      <c r="A1049" s="2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 ht="30.0" customHeight="1">
      <c r="A1050" s="2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 ht="30.0" customHeight="1">
      <c r="A1051" s="2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 ht="30.0" customHeight="1">
      <c r="A1052" s="2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 ht="30.0" customHeight="1">
      <c r="A1053" s="2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 ht="30.0" customHeight="1">
      <c r="A1054" s="2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 ht="30.0" customHeight="1">
      <c r="A1055" s="2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 ht="30.0" customHeight="1">
      <c r="A1056" s="2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 ht="30.0" customHeight="1">
      <c r="A1057" s="2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 ht="30.0" customHeight="1">
      <c r="A1058" s="2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 ht="30.0" customHeight="1">
      <c r="A1059" s="2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 ht="30.0" customHeight="1">
      <c r="A1060" s="2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 ht="30.0" customHeight="1">
      <c r="A1061" s="2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</sheetData>
  <mergeCells count="3">
    <mergeCell ref="B2:H2"/>
    <mergeCell ref="B4:B5"/>
    <mergeCell ref="C5:F5"/>
  </mergeCells>
  <printOptions horizontalCentered="1"/>
  <pageMargins bottom="0.75" footer="0.0" header="0.0" left="0.25" right="0.25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12.5"/>
    <col customWidth="1" min="3" max="3" width="13.63"/>
    <col customWidth="1" min="4" max="4" width="12.25"/>
    <col customWidth="1" min="5" max="5" width="13.0"/>
    <col customWidth="1" min="6" max="6" width="11.88"/>
    <col customWidth="1" min="7" max="7" width="15.13"/>
    <col customWidth="1" min="8" max="8" width="11.88"/>
    <col customWidth="1" min="9" max="9" width="21.75"/>
    <col customWidth="1" min="10" max="10" width="23.38"/>
    <col customWidth="1" min="11" max="11" width="13.63"/>
    <col customWidth="1" min="12" max="12" width="21.63"/>
  </cols>
  <sheetData>
    <row r="1">
      <c r="A1" s="94"/>
      <c r="B1" s="94" t="s">
        <v>32</v>
      </c>
      <c r="C1" s="94" t="s">
        <v>33</v>
      </c>
      <c r="D1" s="94" t="s">
        <v>34</v>
      </c>
      <c r="E1" s="94" t="s">
        <v>35</v>
      </c>
      <c r="F1" s="94" t="s">
        <v>36</v>
      </c>
      <c r="G1" s="94" t="s">
        <v>37</v>
      </c>
      <c r="H1" s="94" t="s">
        <v>38</v>
      </c>
      <c r="I1" s="94" t="s">
        <v>39</v>
      </c>
      <c r="J1" s="94" t="s">
        <v>40</v>
      </c>
      <c r="K1" s="94" t="s">
        <v>41</v>
      </c>
      <c r="L1" s="94" t="s">
        <v>42</v>
      </c>
    </row>
    <row r="2">
      <c r="A2" s="94" t="s">
        <v>43</v>
      </c>
    </row>
    <row r="18">
      <c r="A18" s="95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4"/>
      <c r="N18" s="96"/>
    </row>
    <row r="19">
      <c r="A19" s="95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4"/>
      <c r="N19" s="96"/>
    </row>
    <row r="20">
      <c r="A20" s="95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4"/>
      <c r="N20" s="96"/>
    </row>
    <row r="21">
      <c r="A21" s="95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4"/>
      <c r="N21" s="96"/>
    </row>
    <row r="22">
      <c r="A22" s="95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4"/>
      <c r="N22" s="96"/>
    </row>
    <row r="23">
      <c r="A23" s="95" t="s">
        <v>44</v>
      </c>
      <c r="B23" s="96">
        <f t="shared" ref="B23:J23" si="1">SUM(B3:B17)</f>
        <v>0</v>
      </c>
      <c r="C23" s="96">
        <f t="shared" si="1"/>
        <v>0</v>
      </c>
      <c r="D23" s="96">
        <f t="shared" si="1"/>
        <v>0</v>
      </c>
      <c r="E23" s="96">
        <f t="shared" si="1"/>
        <v>0</v>
      </c>
      <c r="F23" s="96">
        <f t="shared" si="1"/>
        <v>0</v>
      </c>
      <c r="G23" s="96">
        <f t="shared" si="1"/>
        <v>0</v>
      </c>
      <c r="H23" s="96">
        <f t="shared" si="1"/>
        <v>0</v>
      </c>
      <c r="I23" s="96">
        <f t="shared" si="1"/>
        <v>0</v>
      </c>
      <c r="J23" s="96">
        <f t="shared" si="1"/>
        <v>0</v>
      </c>
      <c r="K23" s="96"/>
      <c r="L23" s="96"/>
      <c r="M23" s="94" t="s">
        <v>45</v>
      </c>
      <c r="N23" s="96">
        <f>SUM(B23:L23)</f>
        <v>0</v>
      </c>
    </row>
    <row r="24">
      <c r="A24" s="94"/>
    </row>
    <row r="25">
      <c r="A25" s="94" t="s">
        <v>46</v>
      </c>
    </row>
    <row r="26"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</row>
    <row r="41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4"/>
      <c r="N41" s="96"/>
    </row>
    <row r="42">
      <c r="A42" s="95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4"/>
      <c r="N42" s="96"/>
    </row>
    <row r="43">
      <c r="A43" s="95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4"/>
      <c r="N43" s="96"/>
    </row>
    <row r="44">
      <c r="A44" s="95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4"/>
      <c r="N44" s="96"/>
    </row>
    <row r="45">
      <c r="A45" s="95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4"/>
      <c r="N45" s="96"/>
    </row>
    <row r="46">
      <c r="A46" s="95" t="s">
        <v>44</v>
      </c>
      <c r="B46" s="96">
        <f t="shared" ref="B46:J46" si="2">SUM(B26:B40)</f>
        <v>0</v>
      </c>
      <c r="C46" s="96">
        <f t="shared" si="2"/>
        <v>0</v>
      </c>
      <c r="D46" s="96">
        <f t="shared" si="2"/>
        <v>0</v>
      </c>
      <c r="E46" s="96">
        <f t="shared" si="2"/>
        <v>0</v>
      </c>
      <c r="F46" s="96">
        <f t="shared" si="2"/>
        <v>0</v>
      </c>
      <c r="G46" s="96">
        <f t="shared" si="2"/>
        <v>0</v>
      </c>
      <c r="H46" s="96">
        <f t="shared" si="2"/>
        <v>0</v>
      </c>
      <c r="I46" s="96">
        <f t="shared" si="2"/>
        <v>0</v>
      </c>
      <c r="J46" s="96">
        <f t="shared" si="2"/>
        <v>0</v>
      </c>
      <c r="K46" s="96"/>
      <c r="L46" s="96"/>
      <c r="M46" s="94" t="s">
        <v>45</v>
      </c>
      <c r="N46" s="96">
        <f>SUM(B46:L46)</f>
        <v>0</v>
      </c>
    </row>
    <row r="47">
      <c r="A47" s="97"/>
      <c r="B47" s="94"/>
      <c r="F47" s="98"/>
    </row>
    <row r="48">
      <c r="A48" s="94" t="s">
        <v>47</v>
      </c>
    </row>
    <row r="49">
      <c r="A49" s="99" t="s">
        <v>48</v>
      </c>
      <c r="B49" s="99">
        <v>300.0</v>
      </c>
    </row>
    <row r="55">
      <c r="O55" s="94"/>
      <c r="P55" s="96"/>
    </row>
    <row r="59"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</row>
    <row r="64">
      <c r="A64" s="95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4"/>
      <c r="N64" s="96"/>
    </row>
    <row r="65">
      <c r="A65" s="95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4"/>
      <c r="N65" s="96"/>
    </row>
    <row r="66">
      <c r="A66" s="95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4"/>
      <c r="N66" s="96"/>
    </row>
    <row r="67">
      <c r="A67" s="95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4"/>
      <c r="N67" s="96"/>
    </row>
    <row r="68">
      <c r="A68" s="95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4"/>
      <c r="N68" s="96"/>
    </row>
    <row r="69">
      <c r="A69" s="95" t="s">
        <v>44</v>
      </c>
      <c r="B69" s="96">
        <f t="shared" ref="B69:J69" si="3">SUM(B49:B63)</f>
        <v>300</v>
      </c>
      <c r="C69" s="96">
        <f t="shared" si="3"/>
        <v>0</v>
      </c>
      <c r="D69" s="96">
        <f t="shared" si="3"/>
        <v>0</v>
      </c>
      <c r="E69" s="96">
        <f t="shared" si="3"/>
        <v>0</v>
      </c>
      <c r="F69" s="96">
        <f t="shared" si="3"/>
        <v>0</v>
      </c>
      <c r="G69" s="96">
        <f t="shared" si="3"/>
        <v>0</v>
      </c>
      <c r="H69" s="96">
        <f t="shared" si="3"/>
        <v>0</v>
      </c>
      <c r="I69" s="96">
        <f t="shared" si="3"/>
        <v>0</v>
      </c>
      <c r="J69" s="96">
        <f t="shared" si="3"/>
        <v>0</v>
      </c>
      <c r="K69" s="96"/>
      <c r="L69" s="96"/>
      <c r="M69" s="94" t="s">
        <v>45</v>
      </c>
      <c r="N69" s="96">
        <f>SUM(B69:L69)</f>
        <v>300</v>
      </c>
    </row>
    <row r="70">
      <c r="A70" s="94"/>
    </row>
    <row r="71">
      <c r="A71" s="94" t="s">
        <v>49</v>
      </c>
    </row>
    <row r="87">
      <c r="A87" s="95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4"/>
      <c r="N87" s="96"/>
    </row>
    <row r="88">
      <c r="A88" s="95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4"/>
      <c r="N88" s="96"/>
    </row>
    <row r="89">
      <c r="A89" s="95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4"/>
      <c r="N89" s="96"/>
    </row>
    <row r="90">
      <c r="A90" s="95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4"/>
      <c r="N90" s="96"/>
    </row>
    <row r="91">
      <c r="A91" s="95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4"/>
      <c r="N91" s="96"/>
    </row>
    <row r="92">
      <c r="A92" s="95" t="s">
        <v>44</v>
      </c>
      <c r="B92" s="96">
        <f t="shared" ref="B92:J92" si="4">SUM(B72:B86)</f>
        <v>0</v>
      </c>
      <c r="C92" s="96">
        <f t="shared" si="4"/>
        <v>0</v>
      </c>
      <c r="D92" s="96">
        <f t="shared" si="4"/>
        <v>0</v>
      </c>
      <c r="E92" s="96">
        <f t="shared" si="4"/>
        <v>0</v>
      </c>
      <c r="F92" s="96">
        <f t="shared" si="4"/>
        <v>0</v>
      </c>
      <c r="G92" s="96">
        <f t="shared" si="4"/>
        <v>0</v>
      </c>
      <c r="H92" s="96">
        <f t="shared" si="4"/>
        <v>0</v>
      </c>
      <c r="I92" s="96">
        <f t="shared" si="4"/>
        <v>0</v>
      </c>
      <c r="J92" s="96">
        <f t="shared" si="4"/>
        <v>0</v>
      </c>
      <c r="K92" s="96"/>
      <c r="L92" s="96"/>
      <c r="M92" s="94" t="s">
        <v>45</v>
      </c>
      <c r="N92" s="96">
        <f>SUM(B92:L92)</f>
        <v>0</v>
      </c>
    </row>
    <row r="94">
      <c r="A94" s="94" t="s">
        <v>50</v>
      </c>
    </row>
    <row r="110">
      <c r="A110" s="95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4"/>
      <c r="N110" s="96"/>
    </row>
    <row r="111">
      <c r="A111" s="95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4"/>
      <c r="N111" s="96"/>
    </row>
    <row r="112">
      <c r="A112" s="95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4"/>
      <c r="N112" s="96"/>
    </row>
    <row r="113">
      <c r="A113" s="95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4"/>
      <c r="N113" s="96"/>
    </row>
    <row r="114">
      <c r="A114" s="95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4"/>
      <c r="N114" s="96"/>
    </row>
    <row r="115">
      <c r="A115" s="95" t="s">
        <v>44</v>
      </c>
      <c r="B115" s="96">
        <f t="shared" ref="B115:J115" si="5">SUM(B95:B109)</f>
        <v>0</v>
      </c>
      <c r="C115" s="96">
        <f t="shared" si="5"/>
        <v>0</v>
      </c>
      <c r="D115" s="96">
        <f t="shared" si="5"/>
        <v>0</v>
      </c>
      <c r="E115" s="96">
        <f t="shared" si="5"/>
        <v>0</v>
      </c>
      <c r="F115" s="96">
        <f t="shared" si="5"/>
        <v>0</v>
      </c>
      <c r="G115" s="96">
        <f t="shared" si="5"/>
        <v>0</v>
      </c>
      <c r="H115" s="96">
        <f t="shared" si="5"/>
        <v>0</v>
      </c>
      <c r="I115" s="96">
        <f t="shared" si="5"/>
        <v>0</v>
      </c>
      <c r="J115" s="96">
        <f t="shared" si="5"/>
        <v>0</v>
      </c>
      <c r="K115" s="96"/>
      <c r="L115" s="96"/>
      <c r="M115" s="94" t="s">
        <v>45</v>
      </c>
      <c r="N115" s="96">
        <f>SUM(B115:L115)</f>
        <v>0</v>
      </c>
    </row>
    <row r="116">
      <c r="A116" s="94"/>
    </row>
    <row r="117">
      <c r="A117" s="94" t="s">
        <v>51</v>
      </c>
    </row>
    <row r="133">
      <c r="A133" s="95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4"/>
      <c r="N133" s="96"/>
    </row>
    <row r="134">
      <c r="A134" s="95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4"/>
      <c r="N134" s="96"/>
    </row>
    <row r="135">
      <c r="A135" s="95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4"/>
      <c r="N135" s="96"/>
    </row>
    <row r="136">
      <c r="A136" s="95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4"/>
      <c r="N136" s="96"/>
    </row>
    <row r="137">
      <c r="A137" s="95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4"/>
      <c r="N137" s="96"/>
    </row>
    <row r="138">
      <c r="A138" s="95" t="s">
        <v>44</v>
      </c>
      <c r="B138" s="96">
        <f t="shared" ref="B138:J138" si="6">SUM(B118:B132)</f>
        <v>0</v>
      </c>
      <c r="C138" s="96">
        <f t="shared" si="6"/>
        <v>0</v>
      </c>
      <c r="D138" s="96">
        <f t="shared" si="6"/>
        <v>0</v>
      </c>
      <c r="E138" s="96">
        <f t="shared" si="6"/>
        <v>0</v>
      </c>
      <c r="F138" s="96">
        <f t="shared" si="6"/>
        <v>0</v>
      </c>
      <c r="G138" s="96">
        <f t="shared" si="6"/>
        <v>0</v>
      </c>
      <c r="H138" s="96">
        <f t="shared" si="6"/>
        <v>0</v>
      </c>
      <c r="I138" s="96">
        <f t="shared" si="6"/>
        <v>0</v>
      </c>
      <c r="J138" s="96">
        <f t="shared" si="6"/>
        <v>0</v>
      </c>
      <c r="K138" s="96"/>
      <c r="L138" s="96"/>
      <c r="M138" s="94" t="s">
        <v>45</v>
      </c>
      <c r="N138" s="96">
        <f>SUM(B138:L138)</f>
        <v>0</v>
      </c>
    </row>
    <row r="140">
      <c r="A140" s="94" t="s">
        <v>52</v>
      </c>
    </row>
    <row r="156">
      <c r="A156" s="95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4"/>
      <c r="N156" s="96"/>
    </row>
    <row r="157">
      <c r="A157" s="95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4"/>
      <c r="N157" s="96"/>
    </row>
    <row r="158">
      <c r="A158" s="95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4"/>
      <c r="N158" s="96"/>
    </row>
    <row r="159">
      <c r="A159" s="95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4"/>
      <c r="N159" s="96"/>
    </row>
    <row r="160">
      <c r="A160" s="95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4"/>
      <c r="N160" s="96"/>
    </row>
    <row r="161">
      <c r="A161" s="95" t="s">
        <v>44</v>
      </c>
      <c r="B161" s="96">
        <f t="shared" ref="B161:J161" si="7">SUM(B141:B155)</f>
        <v>0</v>
      </c>
      <c r="C161" s="96">
        <f t="shared" si="7"/>
        <v>0</v>
      </c>
      <c r="D161" s="96">
        <f t="shared" si="7"/>
        <v>0</v>
      </c>
      <c r="E161" s="96">
        <f t="shared" si="7"/>
        <v>0</v>
      </c>
      <c r="F161" s="96">
        <f t="shared" si="7"/>
        <v>0</v>
      </c>
      <c r="G161" s="96">
        <f t="shared" si="7"/>
        <v>0</v>
      </c>
      <c r="H161" s="96">
        <f t="shared" si="7"/>
        <v>0</v>
      </c>
      <c r="I161" s="96">
        <f t="shared" si="7"/>
        <v>0</v>
      </c>
      <c r="J161" s="96">
        <f t="shared" si="7"/>
        <v>0</v>
      </c>
      <c r="K161" s="96"/>
      <c r="L161" s="96"/>
      <c r="M161" s="94" t="s">
        <v>45</v>
      </c>
      <c r="N161" s="96">
        <f>SUM(B161:L161)</f>
        <v>0</v>
      </c>
    </row>
    <row r="162">
      <c r="A162" s="94"/>
    </row>
    <row r="163">
      <c r="A163" s="94" t="s">
        <v>53</v>
      </c>
    </row>
    <row r="179">
      <c r="A179" s="95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4"/>
      <c r="N179" s="96"/>
    </row>
    <row r="180">
      <c r="A180" s="95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4"/>
      <c r="N180" s="96"/>
    </row>
    <row r="181">
      <c r="A181" s="95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4"/>
      <c r="N181" s="96"/>
    </row>
    <row r="182">
      <c r="A182" s="95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4"/>
      <c r="N182" s="96"/>
    </row>
    <row r="183">
      <c r="A183" s="95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4"/>
      <c r="N183" s="96"/>
    </row>
    <row r="184">
      <c r="A184" s="95" t="s">
        <v>44</v>
      </c>
      <c r="B184" s="96">
        <f t="shared" ref="B184:J184" si="8">SUM(B164:B178)</f>
        <v>0</v>
      </c>
      <c r="C184" s="96">
        <f t="shared" si="8"/>
        <v>0</v>
      </c>
      <c r="D184" s="96">
        <f t="shared" si="8"/>
        <v>0</v>
      </c>
      <c r="E184" s="96">
        <f t="shared" si="8"/>
        <v>0</v>
      </c>
      <c r="F184" s="96">
        <f t="shared" si="8"/>
        <v>0</v>
      </c>
      <c r="G184" s="96">
        <f t="shared" si="8"/>
        <v>0</v>
      </c>
      <c r="H184" s="96">
        <f t="shared" si="8"/>
        <v>0</v>
      </c>
      <c r="I184" s="96">
        <f t="shared" si="8"/>
        <v>0</v>
      </c>
      <c r="J184" s="96">
        <f t="shared" si="8"/>
        <v>0</v>
      </c>
      <c r="K184" s="96"/>
      <c r="L184" s="96"/>
      <c r="M184" s="94" t="s">
        <v>45</v>
      </c>
      <c r="N184" s="96">
        <f>SUM(B184:L184)</f>
        <v>0</v>
      </c>
    </row>
    <row r="186">
      <c r="A186" s="94" t="s">
        <v>54</v>
      </c>
    </row>
    <row r="202">
      <c r="A202" s="95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4"/>
      <c r="N202" s="96"/>
    </row>
    <row r="203">
      <c r="A203" s="95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4"/>
      <c r="N203" s="96"/>
    </row>
    <row r="204">
      <c r="A204" s="95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4"/>
      <c r="N204" s="96"/>
    </row>
    <row r="205">
      <c r="A205" s="95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4"/>
      <c r="N205" s="96"/>
    </row>
    <row r="206">
      <c r="A206" s="95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4"/>
      <c r="N206" s="96"/>
    </row>
    <row r="207">
      <c r="A207" s="95" t="s">
        <v>44</v>
      </c>
      <c r="B207" s="96">
        <f t="shared" ref="B207:J207" si="9">SUM(B187:B201)</f>
        <v>0</v>
      </c>
      <c r="C207" s="96">
        <f t="shared" si="9"/>
        <v>0</v>
      </c>
      <c r="D207" s="96">
        <f t="shared" si="9"/>
        <v>0</v>
      </c>
      <c r="E207" s="96">
        <f t="shared" si="9"/>
        <v>0</v>
      </c>
      <c r="F207" s="96">
        <f t="shared" si="9"/>
        <v>0</v>
      </c>
      <c r="G207" s="96">
        <f t="shared" si="9"/>
        <v>0</v>
      </c>
      <c r="H207" s="96">
        <f t="shared" si="9"/>
        <v>0</v>
      </c>
      <c r="I207" s="96">
        <f t="shared" si="9"/>
        <v>0</v>
      </c>
      <c r="J207" s="96">
        <f t="shared" si="9"/>
        <v>0</v>
      </c>
      <c r="K207" s="96"/>
      <c r="L207" s="96"/>
      <c r="M207" s="94" t="s">
        <v>45</v>
      </c>
      <c r="N207" s="96">
        <f>SUM(B207:L207)</f>
        <v>0</v>
      </c>
    </row>
    <row r="208">
      <c r="A208" s="94"/>
    </row>
    <row r="209">
      <c r="A209" s="94" t="s">
        <v>55</v>
      </c>
    </row>
    <row r="225">
      <c r="A225" s="95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4"/>
      <c r="N225" s="96"/>
    </row>
    <row r="226">
      <c r="A226" s="95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4"/>
      <c r="N226" s="96"/>
    </row>
    <row r="227">
      <c r="A227" s="95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4"/>
      <c r="N227" s="96"/>
    </row>
    <row r="228">
      <c r="A228" s="95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4"/>
      <c r="N228" s="96"/>
    </row>
    <row r="229">
      <c r="A229" s="95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4"/>
      <c r="N229" s="96"/>
    </row>
    <row r="230">
      <c r="A230" s="95" t="s">
        <v>44</v>
      </c>
      <c r="B230" s="96">
        <f t="shared" ref="B230:J230" si="10">SUM(B210:B224)</f>
        <v>0</v>
      </c>
      <c r="C230" s="96">
        <f t="shared" si="10"/>
        <v>0</v>
      </c>
      <c r="D230" s="96">
        <f t="shared" si="10"/>
        <v>0</v>
      </c>
      <c r="E230" s="96">
        <f t="shared" si="10"/>
        <v>0</v>
      </c>
      <c r="F230" s="96">
        <f t="shared" si="10"/>
        <v>0</v>
      </c>
      <c r="G230" s="96">
        <f t="shared" si="10"/>
        <v>0</v>
      </c>
      <c r="H230" s="96">
        <f t="shared" si="10"/>
        <v>0</v>
      </c>
      <c r="I230" s="96">
        <f t="shared" si="10"/>
        <v>0</v>
      </c>
      <c r="J230" s="96">
        <f t="shared" si="10"/>
        <v>0</v>
      </c>
      <c r="K230" s="96"/>
      <c r="L230" s="96"/>
      <c r="M230" s="94" t="s">
        <v>45</v>
      </c>
      <c r="N230" s="96">
        <f>SUM(B230:L230)</f>
        <v>0</v>
      </c>
    </row>
  </sheetData>
  <drawing r:id="rId1"/>
</worksheet>
</file>